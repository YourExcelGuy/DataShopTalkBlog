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fileSharing userName="Duane Aubin" algorithmName="SHA-512" hashValue="lu2qzhJoOKfPFcEQ6IXIWY7VQyASfFWF4WXHfxIu1J/yWe/ix/WA4uGVpaLWrOB7Mr1Qk6VjKI5OPp/nGjRvYQ==" saltValue="EJ/l1SA2uPB8xCfQS4eu6w==" spinCount="10000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NA.XOM.COM\Dfs\SYN\Technical Engineering Services\M&amp;IS\Mining &amp; Piping\ADMIN\DATA SHOP\"/>
    </mc:Choice>
  </mc:AlternateContent>
  <bookViews>
    <workbookView xWindow="0" yWindow="0" windowWidth="28800" windowHeight="12720"/>
  </bookViews>
  <sheets>
    <sheet name="Work List" sheetId="1" r:id="rId1"/>
    <sheet name="Summary" sheetId="2" r:id="rId2"/>
    <sheet name="Control" sheetId="3" r:id="rId3"/>
  </sheets>
  <definedNames>
    <definedName name="_xlnm._FilterDatabase" localSheetId="0" hidden="1">'Work List'!$B$10:$I$1007</definedName>
    <definedName name="ControlWeeksOf">Control!$C$3:$C$211</definedName>
    <definedName name="_xlnm.Print_Area" localSheetId="0">'Work List'!$B$2:$I$20</definedName>
    <definedName name="TaskListCostCentres">Summary!$H$3:$H$7</definedName>
    <definedName name="TaskListLeads">Summary!$I$3:$I$7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/>
  <c r="I1007" i="1" l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45" i="1"/>
  <c r="I41" i="1"/>
  <c r="I113" i="1"/>
  <c r="I121" i="1"/>
  <c r="I37" i="1"/>
  <c r="I40" i="1"/>
  <c r="I49" i="1"/>
  <c r="I120" i="1"/>
  <c r="I119" i="1"/>
  <c r="I118" i="1"/>
  <c r="I117" i="1"/>
  <c r="I116" i="1"/>
  <c r="I115" i="1"/>
  <c r="I114" i="1"/>
  <c r="I56" i="1"/>
  <c r="I23" i="1"/>
  <c r="I21" i="1"/>
  <c r="I28" i="1"/>
  <c r="I33" i="1"/>
  <c r="I32" i="1"/>
  <c r="I26" i="1"/>
  <c r="I25" i="1"/>
  <c r="I42" i="1"/>
  <c r="I24" i="1"/>
  <c r="I48" i="1"/>
  <c r="I31" i="1"/>
  <c r="I12" i="1"/>
  <c r="I11" i="1"/>
  <c r="I22" i="1"/>
  <c r="I112" i="1"/>
  <c r="I111" i="1"/>
  <c r="I110" i="1"/>
  <c r="I108" i="1"/>
  <c r="I107" i="1"/>
  <c r="I106" i="1"/>
  <c r="I105" i="1"/>
  <c r="I103" i="1"/>
  <c r="I102" i="1"/>
  <c r="I101" i="1"/>
  <c r="I100" i="1"/>
  <c r="I99" i="1"/>
  <c r="I97" i="1"/>
  <c r="I96" i="1"/>
  <c r="I95" i="1"/>
  <c r="I94" i="1"/>
  <c r="I92" i="1"/>
  <c r="I91" i="1"/>
  <c r="I90" i="1"/>
  <c r="I89" i="1"/>
  <c r="I88" i="1"/>
  <c r="I86" i="1"/>
  <c r="I85" i="1"/>
  <c r="I84" i="1"/>
  <c r="I83" i="1"/>
  <c r="I81" i="1"/>
  <c r="I80" i="1"/>
  <c r="I79" i="1"/>
  <c r="I78" i="1"/>
  <c r="I72" i="1"/>
  <c r="I67" i="1"/>
  <c r="I66" i="1"/>
  <c r="I61" i="1"/>
  <c r="I50" i="1"/>
  <c r="I38" i="1"/>
  <c r="I109" i="1"/>
  <c r="I104" i="1"/>
  <c r="I98" i="1"/>
  <c r="I93" i="1"/>
  <c r="I87" i="1"/>
  <c r="I82" i="1"/>
  <c r="I77" i="1"/>
  <c r="I55" i="1"/>
  <c r="I76" i="1"/>
  <c r="I75" i="1"/>
  <c r="I74" i="1"/>
  <c r="I73" i="1"/>
  <c r="I71" i="1"/>
  <c r="I70" i="1"/>
  <c r="I69" i="1"/>
  <c r="I68" i="1"/>
  <c r="I65" i="1"/>
  <c r="I64" i="1"/>
  <c r="I63" i="1"/>
  <c r="I62" i="1"/>
  <c r="I60" i="1"/>
  <c r="I59" i="1"/>
  <c r="I58" i="1"/>
  <c r="I57" i="1"/>
  <c r="I54" i="1"/>
  <c r="I53" i="1"/>
  <c r="I52" i="1"/>
  <c r="I51" i="1"/>
  <c r="I44" i="1"/>
  <c r="I39" i="1"/>
  <c r="I43" i="1"/>
  <c r="I35" i="1"/>
  <c r="I34" i="1"/>
  <c r="I47" i="1"/>
  <c r="I46" i="1"/>
  <c r="I20" i="1"/>
  <c r="I19" i="1"/>
  <c r="I36" i="1"/>
  <c r="I27" i="1"/>
  <c r="I30" i="1"/>
  <c r="I29" i="1"/>
  <c r="I16" i="1"/>
  <c r="I13" i="1"/>
  <c r="I15" i="1"/>
  <c r="I14" i="1"/>
  <c r="I18" i="1"/>
  <c r="I17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45" i="1"/>
  <c r="G41" i="1"/>
  <c r="G113" i="1"/>
  <c r="G121" i="1"/>
  <c r="G37" i="1"/>
  <c r="G40" i="1"/>
  <c r="G49" i="1"/>
  <c r="G120" i="1"/>
  <c r="G119" i="1"/>
  <c r="G118" i="1"/>
  <c r="G117" i="1"/>
  <c r="G116" i="1"/>
  <c r="G115" i="1"/>
  <c r="G114" i="1"/>
  <c r="G56" i="1"/>
  <c r="G23" i="1"/>
  <c r="G21" i="1"/>
  <c r="G28" i="1"/>
  <c r="G33" i="1"/>
  <c r="G32" i="1"/>
  <c r="G26" i="1"/>
  <c r="G25" i="1"/>
  <c r="G42" i="1"/>
  <c r="G24" i="1"/>
  <c r="G48" i="1"/>
  <c r="G31" i="1"/>
  <c r="G12" i="1"/>
  <c r="G11" i="1"/>
  <c r="G22" i="1"/>
  <c r="G112" i="1"/>
  <c r="G111" i="1"/>
  <c r="G110" i="1"/>
  <c r="G108" i="1"/>
  <c r="G107" i="1"/>
  <c r="G106" i="1"/>
  <c r="G105" i="1"/>
  <c r="G103" i="1"/>
  <c r="G102" i="1"/>
  <c r="G101" i="1"/>
  <c r="G100" i="1"/>
  <c r="G99" i="1"/>
  <c r="G97" i="1"/>
  <c r="G96" i="1"/>
  <c r="G95" i="1"/>
  <c r="G94" i="1"/>
  <c r="G92" i="1"/>
  <c r="G91" i="1"/>
  <c r="G90" i="1"/>
  <c r="G89" i="1"/>
  <c r="G88" i="1"/>
  <c r="G86" i="1"/>
  <c r="G85" i="1"/>
  <c r="G84" i="1"/>
  <c r="G83" i="1"/>
  <c r="G81" i="1"/>
  <c r="G80" i="1"/>
  <c r="G79" i="1"/>
  <c r="G78" i="1"/>
  <c r="G72" i="1"/>
  <c r="G67" i="1"/>
  <c r="G66" i="1"/>
  <c r="G61" i="1"/>
  <c r="G50" i="1"/>
  <c r="G38" i="1"/>
  <c r="G109" i="1"/>
  <c r="G104" i="1"/>
  <c r="G98" i="1"/>
  <c r="G93" i="1"/>
  <c r="G87" i="1"/>
  <c r="G82" i="1"/>
  <c r="G77" i="1"/>
  <c r="G55" i="1"/>
  <c r="G76" i="1"/>
  <c r="G75" i="1"/>
  <c r="G74" i="1"/>
  <c r="G73" i="1"/>
  <c r="G71" i="1"/>
  <c r="G70" i="1"/>
  <c r="G69" i="1"/>
  <c r="G68" i="1"/>
  <c r="G65" i="1"/>
  <c r="G64" i="1"/>
  <c r="G63" i="1"/>
  <c r="G62" i="1"/>
  <c r="G60" i="1"/>
  <c r="G59" i="1"/>
  <c r="G58" i="1"/>
  <c r="G57" i="1"/>
  <c r="G54" i="1"/>
  <c r="G53" i="1"/>
  <c r="G52" i="1"/>
  <c r="G51" i="1"/>
  <c r="G44" i="1"/>
  <c r="G39" i="1"/>
  <c r="G43" i="1"/>
  <c r="G35" i="1"/>
  <c r="G34" i="1"/>
  <c r="G47" i="1"/>
  <c r="G46" i="1"/>
  <c r="G20" i="1"/>
  <c r="G19" i="1"/>
  <c r="G36" i="1"/>
  <c r="G27" i="1"/>
  <c r="G30" i="1"/>
  <c r="G29" i="1"/>
  <c r="G16" i="1"/>
  <c r="G13" i="1"/>
  <c r="G15" i="1"/>
  <c r="G14" i="1"/>
  <c r="G18" i="1"/>
  <c r="G17" i="1"/>
  <c r="C5" i="3"/>
  <c r="C6" i="3" s="1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4" i="3"/>
  <c r="E8" i="2"/>
  <c r="D8" i="2"/>
  <c r="C6" i="2"/>
  <c r="E1007" i="1"/>
  <c r="D1007" i="1"/>
  <c r="E1006" i="1"/>
  <c r="D1006" i="1"/>
  <c r="E1005" i="1"/>
  <c r="D1005" i="1"/>
  <c r="E1004" i="1"/>
  <c r="D1004" i="1"/>
  <c r="E1003" i="1"/>
  <c r="D1003" i="1"/>
  <c r="E1002" i="1"/>
  <c r="D1002" i="1"/>
  <c r="E1001" i="1"/>
  <c r="D1001" i="1"/>
  <c r="E1000" i="1"/>
  <c r="D1000" i="1"/>
  <c r="E999" i="1"/>
  <c r="D999" i="1"/>
  <c r="E998" i="1"/>
  <c r="D998" i="1"/>
  <c r="E997" i="1"/>
  <c r="D997" i="1"/>
  <c r="E996" i="1"/>
  <c r="D996" i="1"/>
  <c r="E995" i="1"/>
  <c r="D995" i="1"/>
  <c r="E994" i="1"/>
  <c r="D994" i="1"/>
  <c r="E993" i="1"/>
  <c r="D993" i="1"/>
  <c r="E992" i="1"/>
  <c r="D992" i="1"/>
  <c r="E991" i="1"/>
  <c r="D991" i="1"/>
  <c r="E990" i="1"/>
  <c r="D990" i="1"/>
  <c r="E989" i="1"/>
  <c r="D989" i="1"/>
  <c r="E988" i="1"/>
  <c r="D988" i="1"/>
  <c r="E987" i="1"/>
  <c r="D987" i="1"/>
  <c r="E986" i="1"/>
  <c r="D986" i="1"/>
  <c r="E985" i="1"/>
  <c r="D985" i="1"/>
  <c r="E984" i="1"/>
  <c r="D984" i="1"/>
  <c r="E983" i="1"/>
  <c r="D983" i="1"/>
  <c r="E982" i="1"/>
  <c r="D982" i="1"/>
  <c r="E981" i="1"/>
  <c r="D981" i="1"/>
  <c r="E980" i="1"/>
  <c r="D980" i="1"/>
  <c r="E979" i="1"/>
  <c r="D979" i="1"/>
  <c r="E978" i="1"/>
  <c r="D978" i="1"/>
  <c r="E977" i="1"/>
  <c r="D977" i="1"/>
  <c r="E976" i="1"/>
  <c r="D976" i="1"/>
  <c r="E975" i="1"/>
  <c r="D975" i="1"/>
  <c r="E974" i="1"/>
  <c r="D974" i="1"/>
  <c r="E973" i="1"/>
  <c r="D973" i="1"/>
  <c r="E972" i="1"/>
  <c r="D972" i="1"/>
  <c r="E971" i="1"/>
  <c r="D971" i="1"/>
  <c r="E970" i="1"/>
  <c r="D970" i="1"/>
  <c r="E969" i="1"/>
  <c r="D969" i="1"/>
  <c r="E968" i="1"/>
  <c r="D968" i="1"/>
  <c r="E967" i="1"/>
  <c r="D967" i="1"/>
  <c r="E966" i="1"/>
  <c r="D966" i="1"/>
  <c r="E965" i="1"/>
  <c r="D965" i="1"/>
  <c r="E964" i="1"/>
  <c r="D964" i="1"/>
  <c r="E963" i="1"/>
  <c r="D963" i="1"/>
  <c r="E962" i="1"/>
  <c r="D962" i="1"/>
  <c r="E961" i="1"/>
  <c r="D961" i="1"/>
  <c r="E960" i="1"/>
  <c r="D960" i="1"/>
  <c r="E959" i="1"/>
  <c r="D959" i="1"/>
  <c r="E958" i="1"/>
  <c r="D958" i="1"/>
  <c r="E957" i="1"/>
  <c r="D957" i="1"/>
  <c r="E956" i="1"/>
  <c r="D956" i="1"/>
  <c r="E955" i="1"/>
  <c r="D955" i="1"/>
  <c r="E954" i="1"/>
  <c r="D954" i="1"/>
  <c r="E953" i="1"/>
  <c r="D953" i="1"/>
  <c r="E952" i="1"/>
  <c r="D952" i="1"/>
  <c r="E951" i="1"/>
  <c r="D951" i="1"/>
  <c r="E950" i="1"/>
  <c r="D950" i="1"/>
  <c r="E949" i="1"/>
  <c r="D949" i="1"/>
  <c r="E948" i="1"/>
  <c r="D948" i="1"/>
  <c r="E947" i="1"/>
  <c r="D947" i="1"/>
  <c r="E946" i="1"/>
  <c r="D946" i="1"/>
  <c r="E945" i="1"/>
  <c r="D945" i="1"/>
  <c r="E944" i="1"/>
  <c r="D944" i="1"/>
  <c r="E943" i="1"/>
  <c r="D943" i="1"/>
  <c r="E942" i="1"/>
  <c r="D942" i="1"/>
  <c r="E941" i="1"/>
  <c r="D941" i="1"/>
  <c r="E940" i="1"/>
  <c r="D940" i="1"/>
  <c r="E939" i="1"/>
  <c r="D939" i="1"/>
  <c r="E938" i="1"/>
  <c r="D938" i="1"/>
  <c r="E937" i="1"/>
  <c r="D937" i="1"/>
  <c r="E936" i="1"/>
  <c r="D936" i="1"/>
  <c r="E935" i="1"/>
  <c r="D935" i="1"/>
  <c r="E934" i="1"/>
  <c r="D934" i="1"/>
  <c r="E933" i="1"/>
  <c r="D933" i="1"/>
  <c r="E932" i="1"/>
  <c r="D932" i="1"/>
  <c r="E931" i="1"/>
  <c r="D931" i="1"/>
  <c r="E930" i="1"/>
  <c r="D930" i="1"/>
  <c r="E929" i="1"/>
  <c r="D929" i="1"/>
  <c r="E928" i="1"/>
  <c r="D928" i="1"/>
  <c r="E927" i="1"/>
  <c r="D927" i="1"/>
  <c r="E926" i="1"/>
  <c r="D926" i="1"/>
  <c r="E925" i="1"/>
  <c r="D925" i="1"/>
  <c r="E924" i="1"/>
  <c r="D924" i="1"/>
  <c r="E923" i="1"/>
  <c r="D923" i="1"/>
  <c r="E922" i="1"/>
  <c r="D922" i="1"/>
  <c r="E921" i="1"/>
  <c r="D921" i="1"/>
  <c r="E920" i="1"/>
  <c r="D920" i="1"/>
  <c r="E919" i="1"/>
  <c r="D919" i="1"/>
  <c r="E918" i="1"/>
  <c r="D918" i="1"/>
  <c r="E917" i="1"/>
  <c r="D917" i="1"/>
  <c r="E916" i="1"/>
  <c r="D916" i="1"/>
  <c r="E915" i="1"/>
  <c r="D915" i="1"/>
  <c r="E914" i="1"/>
  <c r="D914" i="1"/>
  <c r="E913" i="1"/>
  <c r="D913" i="1"/>
  <c r="E912" i="1"/>
  <c r="D912" i="1"/>
  <c r="E911" i="1"/>
  <c r="D911" i="1"/>
  <c r="E910" i="1"/>
  <c r="D910" i="1"/>
  <c r="E909" i="1"/>
  <c r="D909" i="1"/>
  <c r="E908" i="1"/>
  <c r="D908" i="1"/>
  <c r="E907" i="1"/>
  <c r="D907" i="1"/>
  <c r="E906" i="1"/>
  <c r="D906" i="1"/>
  <c r="E905" i="1"/>
  <c r="D905" i="1"/>
  <c r="E904" i="1"/>
  <c r="D904" i="1"/>
  <c r="E903" i="1"/>
  <c r="D903" i="1"/>
  <c r="E902" i="1"/>
  <c r="D902" i="1"/>
  <c r="E901" i="1"/>
  <c r="D901" i="1"/>
  <c r="E900" i="1"/>
  <c r="D900" i="1"/>
  <c r="E899" i="1"/>
  <c r="D899" i="1"/>
  <c r="E898" i="1"/>
  <c r="D898" i="1"/>
  <c r="E897" i="1"/>
  <c r="D897" i="1"/>
  <c r="E896" i="1"/>
  <c r="D896" i="1"/>
  <c r="E895" i="1"/>
  <c r="D895" i="1"/>
  <c r="E894" i="1"/>
  <c r="D894" i="1"/>
  <c r="E893" i="1"/>
  <c r="D893" i="1"/>
  <c r="E892" i="1"/>
  <c r="D892" i="1"/>
  <c r="E891" i="1"/>
  <c r="D891" i="1"/>
  <c r="E890" i="1"/>
  <c r="D890" i="1"/>
  <c r="E889" i="1"/>
  <c r="D889" i="1"/>
  <c r="E888" i="1"/>
  <c r="D888" i="1"/>
  <c r="E887" i="1"/>
  <c r="D887" i="1"/>
  <c r="E886" i="1"/>
  <c r="D886" i="1"/>
  <c r="E885" i="1"/>
  <c r="D885" i="1"/>
  <c r="E884" i="1"/>
  <c r="D884" i="1"/>
  <c r="E883" i="1"/>
  <c r="D883" i="1"/>
  <c r="E882" i="1"/>
  <c r="D882" i="1"/>
  <c r="E881" i="1"/>
  <c r="D881" i="1"/>
  <c r="E880" i="1"/>
  <c r="D880" i="1"/>
  <c r="E879" i="1"/>
  <c r="D879" i="1"/>
  <c r="E878" i="1"/>
  <c r="D878" i="1"/>
  <c r="E877" i="1"/>
  <c r="D877" i="1"/>
  <c r="E876" i="1"/>
  <c r="D876" i="1"/>
  <c r="E875" i="1"/>
  <c r="D875" i="1"/>
  <c r="E874" i="1"/>
  <c r="D874" i="1"/>
  <c r="E873" i="1"/>
  <c r="D873" i="1"/>
  <c r="E872" i="1"/>
  <c r="D872" i="1"/>
  <c r="E871" i="1"/>
  <c r="D871" i="1"/>
  <c r="E870" i="1"/>
  <c r="D870" i="1"/>
  <c r="E869" i="1"/>
  <c r="D869" i="1"/>
  <c r="E868" i="1"/>
  <c r="D868" i="1"/>
  <c r="E867" i="1"/>
  <c r="D867" i="1"/>
  <c r="E866" i="1"/>
  <c r="D866" i="1"/>
  <c r="E865" i="1"/>
  <c r="D865" i="1"/>
  <c r="E864" i="1"/>
  <c r="D864" i="1"/>
  <c r="E863" i="1"/>
  <c r="D863" i="1"/>
  <c r="E862" i="1"/>
  <c r="D862" i="1"/>
  <c r="E861" i="1"/>
  <c r="D861" i="1"/>
  <c r="E860" i="1"/>
  <c r="D860" i="1"/>
  <c r="E859" i="1"/>
  <c r="D859" i="1"/>
  <c r="E858" i="1"/>
  <c r="D858" i="1"/>
  <c r="E857" i="1"/>
  <c r="D857" i="1"/>
  <c r="E856" i="1"/>
  <c r="D856" i="1"/>
  <c r="E855" i="1"/>
  <c r="D855" i="1"/>
  <c r="E854" i="1"/>
  <c r="D854" i="1"/>
  <c r="E853" i="1"/>
  <c r="D853" i="1"/>
  <c r="E852" i="1"/>
  <c r="D852" i="1"/>
  <c r="E851" i="1"/>
  <c r="D851" i="1"/>
  <c r="E850" i="1"/>
  <c r="D850" i="1"/>
  <c r="E849" i="1"/>
  <c r="D849" i="1"/>
  <c r="E848" i="1"/>
  <c r="D848" i="1"/>
  <c r="E847" i="1"/>
  <c r="D847" i="1"/>
  <c r="E846" i="1"/>
  <c r="D846" i="1"/>
  <c r="E845" i="1"/>
  <c r="D845" i="1"/>
  <c r="E844" i="1"/>
  <c r="D844" i="1"/>
  <c r="E843" i="1"/>
  <c r="D843" i="1"/>
  <c r="E842" i="1"/>
  <c r="D842" i="1"/>
  <c r="E841" i="1"/>
  <c r="D841" i="1"/>
  <c r="E840" i="1"/>
  <c r="D840" i="1"/>
  <c r="E839" i="1"/>
  <c r="D839" i="1"/>
  <c r="E838" i="1"/>
  <c r="D838" i="1"/>
  <c r="E837" i="1"/>
  <c r="D837" i="1"/>
  <c r="E836" i="1"/>
  <c r="D836" i="1"/>
  <c r="E835" i="1"/>
  <c r="D835" i="1"/>
  <c r="E834" i="1"/>
  <c r="D834" i="1"/>
  <c r="E833" i="1"/>
  <c r="D833" i="1"/>
  <c r="E832" i="1"/>
  <c r="D832" i="1"/>
  <c r="E831" i="1"/>
  <c r="D831" i="1"/>
  <c r="E830" i="1"/>
  <c r="D830" i="1"/>
  <c r="E829" i="1"/>
  <c r="D829" i="1"/>
  <c r="E828" i="1"/>
  <c r="D828" i="1"/>
  <c r="E827" i="1"/>
  <c r="D827" i="1"/>
  <c r="E826" i="1"/>
  <c r="D826" i="1"/>
  <c r="E825" i="1"/>
  <c r="D825" i="1"/>
  <c r="E824" i="1"/>
  <c r="D824" i="1"/>
  <c r="E823" i="1"/>
  <c r="D823" i="1"/>
  <c r="E822" i="1"/>
  <c r="D822" i="1"/>
  <c r="E821" i="1"/>
  <c r="D821" i="1"/>
  <c r="E820" i="1"/>
  <c r="D820" i="1"/>
  <c r="E819" i="1"/>
  <c r="D819" i="1"/>
  <c r="E818" i="1"/>
  <c r="D818" i="1"/>
  <c r="E817" i="1"/>
  <c r="D817" i="1"/>
  <c r="E816" i="1"/>
  <c r="D816" i="1"/>
  <c r="E815" i="1"/>
  <c r="D815" i="1"/>
  <c r="E814" i="1"/>
  <c r="D814" i="1"/>
  <c r="E813" i="1"/>
  <c r="D813" i="1"/>
  <c r="E812" i="1"/>
  <c r="D812" i="1"/>
  <c r="E811" i="1"/>
  <c r="D811" i="1"/>
  <c r="E810" i="1"/>
  <c r="D810" i="1"/>
  <c r="E809" i="1"/>
  <c r="D809" i="1"/>
  <c r="E808" i="1"/>
  <c r="D808" i="1"/>
  <c r="E807" i="1"/>
  <c r="D807" i="1"/>
  <c r="E806" i="1"/>
  <c r="D806" i="1"/>
  <c r="E805" i="1"/>
  <c r="D805" i="1"/>
  <c r="E804" i="1"/>
  <c r="D804" i="1"/>
  <c r="E803" i="1"/>
  <c r="D803" i="1"/>
  <c r="E802" i="1"/>
  <c r="D802" i="1"/>
  <c r="E801" i="1"/>
  <c r="D801" i="1"/>
  <c r="E800" i="1"/>
  <c r="D800" i="1"/>
  <c r="E799" i="1"/>
  <c r="D799" i="1"/>
  <c r="E798" i="1"/>
  <c r="D798" i="1"/>
  <c r="E797" i="1"/>
  <c r="D797" i="1"/>
  <c r="E796" i="1"/>
  <c r="D796" i="1"/>
  <c r="E795" i="1"/>
  <c r="D795" i="1"/>
  <c r="E794" i="1"/>
  <c r="D794" i="1"/>
  <c r="E793" i="1"/>
  <c r="D793" i="1"/>
  <c r="E792" i="1"/>
  <c r="D792" i="1"/>
  <c r="E791" i="1"/>
  <c r="D791" i="1"/>
  <c r="E790" i="1"/>
  <c r="D790" i="1"/>
  <c r="E789" i="1"/>
  <c r="D789" i="1"/>
  <c r="E788" i="1"/>
  <c r="D788" i="1"/>
  <c r="E787" i="1"/>
  <c r="D787" i="1"/>
  <c r="E786" i="1"/>
  <c r="D786" i="1"/>
  <c r="E785" i="1"/>
  <c r="D785" i="1"/>
  <c r="E784" i="1"/>
  <c r="D784" i="1"/>
  <c r="E783" i="1"/>
  <c r="D783" i="1"/>
  <c r="E782" i="1"/>
  <c r="D782" i="1"/>
  <c r="E781" i="1"/>
  <c r="D781" i="1"/>
  <c r="E780" i="1"/>
  <c r="D780" i="1"/>
  <c r="E779" i="1"/>
  <c r="D779" i="1"/>
  <c r="E778" i="1"/>
  <c r="D778" i="1"/>
  <c r="E777" i="1"/>
  <c r="D777" i="1"/>
  <c r="E776" i="1"/>
  <c r="D776" i="1"/>
  <c r="E775" i="1"/>
  <c r="D775" i="1"/>
  <c r="E774" i="1"/>
  <c r="D774" i="1"/>
  <c r="E773" i="1"/>
  <c r="D773" i="1"/>
  <c r="E772" i="1"/>
  <c r="D772" i="1"/>
  <c r="E771" i="1"/>
  <c r="D771" i="1"/>
  <c r="E770" i="1"/>
  <c r="D770" i="1"/>
  <c r="E769" i="1"/>
  <c r="D769" i="1"/>
  <c r="E768" i="1"/>
  <c r="D768" i="1"/>
  <c r="E767" i="1"/>
  <c r="D767" i="1"/>
  <c r="E766" i="1"/>
  <c r="D766" i="1"/>
  <c r="E765" i="1"/>
  <c r="D765" i="1"/>
  <c r="E764" i="1"/>
  <c r="D764" i="1"/>
  <c r="E763" i="1"/>
  <c r="D763" i="1"/>
  <c r="E762" i="1"/>
  <c r="D762" i="1"/>
  <c r="E761" i="1"/>
  <c r="D761" i="1"/>
  <c r="E760" i="1"/>
  <c r="D760" i="1"/>
  <c r="E759" i="1"/>
  <c r="D759" i="1"/>
  <c r="E758" i="1"/>
  <c r="D758" i="1"/>
  <c r="E757" i="1"/>
  <c r="D757" i="1"/>
  <c r="E756" i="1"/>
  <c r="D756" i="1"/>
  <c r="E755" i="1"/>
  <c r="D755" i="1"/>
  <c r="E754" i="1"/>
  <c r="D754" i="1"/>
  <c r="E753" i="1"/>
  <c r="D753" i="1"/>
  <c r="E752" i="1"/>
  <c r="D752" i="1"/>
  <c r="E751" i="1"/>
  <c r="D751" i="1"/>
  <c r="E750" i="1"/>
  <c r="D750" i="1"/>
  <c r="E749" i="1"/>
  <c r="D749" i="1"/>
  <c r="E748" i="1"/>
  <c r="D748" i="1"/>
  <c r="E747" i="1"/>
  <c r="D747" i="1"/>
  <c r="E746" i="1"/>
  <c r="D746" i="1"/>
  <c r="E745" i="1"/>
  <c r="D745" i="1"/>
  <c r="E744" i="1"/>
  <c r="D744" i="1"/>
  <c r="E743" i="1"/>
  <c r="D743" i="1"/>
  <c r="E742" i="1"/>
  <c r="D742" i="1"/>
  <c r="E741" i="1"/>
  <c r="D741" i="1"/>
  <c r="E740" i="1"/>
  <c r="D740" i="1"/>
  <c r="E739" i="1"/>
  <c r="D739" i="1"/>
  <c r="E738" i="1"/>
  <c r="D738" i="1"/>
  <c r="E737" i="1"/>
  <c r="D737" i="1"/>
  <c r="E736" i="1"/>
  <c r="D736" i="1"/>
  <c r="E735" i="1"/>
  <c r="D735" i="1"/>
  <c r="E734" i="1"/>
  <c r="D734" i="1"/>
  <c r="E733" i="1"/>
  <c r="D733" i="1"/>
  <c r="E732" i="1"/>
  <c r="D732" i="1"/>
  <c r="E731" i="1"/>
  <c r="D731" i="1"/>
  <c r="E730" i="1"/>
  <c r="D730" i="1"/>
  <c r="E729" i="1"/>
  <c r="D729" i="1"/>
  <c r="E728" i="1"/>
  <c r="D728" i="1"/>
  <c r="E727" i="1"/>
  <c r="D727" i="1"/>
  <c r="E726" i="1"/>
  <c r="D726" i="1"/>
  <c r="E725" i="1"/>
  <c r="D725" i="1"/>
  <c r="E724" i="1"/>
  <c r="D724" i="1"/>
  <c r="E723" i="1"/>
  <c r="D723" i="1"/>
  <c r="E722" i="1"/>
  <c r="D722" i="1"/>
  <c r="E721" i="1"/>
  <c r="D721" i="1"/>
  <c r="E720" i="1"/>
  <c r="D720" i="1"/>
  <c r="E719" i="1"/>
  <c r="D719" i="1"/>
  <c r="E718" i="1"/>
  <c r="D718" i="1"/>
  <c r="E717" i="1"/>
  <c r="D717" i="1"/>
  <c r="E716" i="1"/>
  <c r="D716" i="1"/>
  <c r="E715" i="1"/>
  <c r="D715" i="1"/>
  <c r="E714" i="1"/>
  <c r="D714" i="1"/>
  <c r="E713" i="1"/>
  <c r="D713" i="1"/>
  <c r="E712" i="1"/>
  <c r="D712" i="1"/>
  <c r="E711" i="1"/>
  <c r="D711" i="1"/>
  <c r="E710" i="1"/>
  <c r="D710" i="1"/>
  <c r="E709" i="1"/>
  <c r="D709" i="1"/>
  <c r="E708" i="1"/>
  <c r="D708" i="1"/>
  <c r="E707" i="1"/>
  <c r="D707" i="1"/>
  <c r="E706" i="1"/>
  <c r="D706" i="1"/>
  <c r="E705" i="1"/>
  <c r="D705" i="1"/>
  <c r="E704" i="1"/>
  <c r="D704" i="1"/>
  <c r="E703" i="1"/>
  <c r="D703" i="1"/>
  <c r="E702" i="1"/>
  <c r="D702" i="1"/>
  <c r="E701" i="1"/>
  <c r="D701" i="1"/>
  <c r="E700" i="1"/>
  <c r="D700" i="1"/>
  <c r="E699" i="1"/>
  <c r="D699" i="1"/>
  <c r="E698" i="1"/>
  <c r="D698" i="1"/>
  <c r="E697" i="1"/>
  <c r="D697" i="1"/>
  <c r="E696" i="1"/>
  <c r="D696" i="1"/>
  <c r="E695" i="1"/>
  <c r="D695" i="1"/>
  <c r="E694" i="1"/>
  <c r="D694" i="1"/>
  <c r="E693" i="1"/>
  <c r="D693" i="1"/>
  <c r="E692" i="1"/>
  <c r="D692" i="1"/>
  <c r="E691" i="1"/>
  <c r="D691" i="1"/>
  <c r="E690" i="1"/>
  <c r="D690" i="1"/>
  <c r="E689" i="1"/>
  <c r="D689" i="1"/>
  <c r="E688" i="1"/>
  <c r="D688" i="1"/>
  <c r="E687" i="1"/>
  <c r="D687" i="1"/>
  <c r="E686" i="1"/>
  <c r="D686" i="1"/>
  <c r="E685" i="1"/>
  <c r="D685" i="1"/>
  <c r="E684" i="1"/>
  <c r="D684" i="1"/>
  <c r="E683" i="1"/>
  <c r="D683" i="1"/>
  <c r="E682" i="1"/>
  <c r="D682" i="1"/>
  <c r="E681" i="1"/>
  <c r="D681" i="1"/>
  <c r="E680" i="1"/>
  <c r="D680" i="1"/>
  <c r="E679" i="1"/>
  <c r="D679" i="1"/>
  <c r="E678" i="1"/>
  <c r="D678" i="1"/>
  <c r="E677" i="1"/>
  <c r="D677" i="1"/>
  <c r="E676" i="1"/>
  <c r="D676" i="1"/>
  <c r="E675" i="1"/>
  <c r="D675" i="1"/>
  <c r="E674" i="1"/>
  <c r="D674" i="1"/>
  <c r="E673" i="1"/>
  <c r="D673" i="1"/>
  <c r="E672" i="1"/>
  <c r="D672" i="1"/>
  <c r="E671" i="1"/>
  <c r="D671" i="1"/>
  <c r="E670" i="1"/>
  <c r="D670" i="1"/>
  <c r="E669" i="1"/>
  <c r="D669" i="1"/>
  <c r="E668" i="1"/>
  <c r="D668" i="1"/>
  <c r="E667" i="1"/>
  <c r="D667" i="1"/>
  <c r="E666" i="1"/>
  <c r="D666" i="1"/>
  <c r="E665" i="1"/>
  <c r="D665" i="1"/>
  <c r="E664" i="1"/>
  <c r="D664" i="1"/>
  <c r="E663" i="1"/>
  <c r="D663" i="1"/>
  <c r="E662" i="1"/>
  <c r="D662" i="1"/>
  <c r="E661" i="1"/>
  <c r="D661" i="1"/>
  <c r="E660" i="1"/>
  <c r="D660" i="1"/>
  <c r="E659" i="1"/>
  <c r="D659" i="1"/>
  <c r="E658" i="1"/>
  <c r="D658" i="1"/>
  <c r="E657" i="1"/>
  <c r="D657" i="1"/>
  <c r="E656" i="1"/>
  <c r="D656" i="1"/>
  <c r="E655" i="1"/>
  <c r="D655" i="1"/>
  <c r="E654" i="1"/>
  <c r="D654" i="1"/>
  <c r="E653" i="1"/>
  <c r="D653" i="1"/>
  <c r="E652" i="1"/>
  <c r="D652" i="1"/>
  <c r="E651" i="1"/>
  <c r="D651" i="1"/>
  <c r="E650" i="1"/>
  <c r="D650" i="1"/>
  <c r="E649" i="1"/>
  <c r="D649" i="1"/>
  <c r="E648" i="1"/>
  <c r="D648" i="1"/>
  <c r="E647" i="1"/>
  <c r="D647" i="1"/>
  <c r="E646" i="1"/>
  <c r="D646" i="1"/>
  <c r="E645" i="1"/>
  <c r="D645" i="1"/>
  <c r="E644" i="1"/>
  <c r="D644" i="1"/>
  <c r="E643" i="1"/>
  <c r="D643" i="1"/>
  <c r="E642" i="1"/>
  <c r="D642" i="1"/>
  <c r="E641" i="1"/>
  <c r="D641" i="1"/>
  <c r="E640" i="1"/>
  <c r="D640" i="1"/>
  <c r="E639" i="1"/>
  <c r="D639" i="1"/>
  <c r="E638" i="1"/>
  <c r="D638" i="1"/>
  <c r="E637" i="1"/>
  <c r="D637" i="1"/>
  <c r="E636" i="1"/>
  <c r="D636" i="1"/>
  <c r="E635" i="1"/>
  <c r="D635" i="1"/>
  <c r="E634" i="1"/>
  <c r="D634" i="1"/>
  <c r="E633" i="1"/>
  <c r="D633" i="1"/>
  <c r="E632" i="1"/>
  <c r="D632" i="1"/>
  <c r="E631" i="1"/>
  <c r="D631" i="1"/>
  <c r="E630" i="1"/>
  <c r="D630" i="1"/>
  <c r="E629" i="1"/>
  <c r="D629" i="1"/>
  <c r="E628" i="1"/>
  <c r="D628" i="1"/>
  <c r="E627" i="1"/>
  <c r="D627" i="1"/>
  <c r="E626" i="1"/>
  <c r="D626" i="1"/>
  <c r="E625" i="1"/>
  <c r="D625" i="1"/>
  <c r="E624" i="1"/>
  <c r="D624" i="1"/>
  <c r="E623" i="1"/>
  <c r="D623" i="1"/>
  <c r="E622" i="1"/>
  <c r="D622" i="1"/>
  <c r="E621" i="1"/>
  <c r="D621" i="1"/>
  <c r="E620" i="1"/>
  <c r="D620" i="1"/>
  <c r="E619" i="1"/>
  <c r="D619" i="1"/>
  <c r="E618" i="1"/>
  <c r="D618" i="1"/>
  <c r="E617" i="1"/>
  <c r="D617" i="1"/>
  <c r="E616" i="1"/>
  <c r="D616" i="1"/>
  <c r="E615" i="1"/>
  <c r="D615" i="1"/>
  <c r="E614" i="1"/>
  <c r="D614" i="1"/>
  <c r="E613" i="1"/>
  <c r="D613" i="1"/>
  <c r="E612" i="1"/>
  <c r="D612" i="1"/>
  <c r="E611" i="1"/>
  <c r="D611" i="1"/>
  <c r="E610" i="1"/>
  <c r="D610" i="1"/>
  <c r="E609" i="1"/>
  <c r="D609" i="1"/>
  <c r="E608" i="1"/>
  <c r="D608" i="1"/>
  <c r="E607" i="1"/>
  <c r="D607" i="1"/>
  <c r="E606" i="1"/>
  <c r="D606" i="1"/>
  <c r="E605" i="1"/>
  <c r="D605" i="1"/>
  <c r="E604" i="1"/>
  <c r="D604" i="1"/>
  <c r="E603" i="1"/>
  <c r="D603" i="1"/>
  <c r="E602" i="1"/>
  <c r="D602" i="1"/>
  <c r="E601" i="1"/>
  <c r="D601" i="1"/>
  <c r="E600" i="1"/>
  <c r="D600" i="1"/>
  <c r="E599" i="1"/>
  <c r="D599" i="1"/>
  <c r="E598" i="1"/>
  <c r="D598" i="1"/>
  <c r="E597" i="1"/>
  <c r="D597" i="1"/>
  <c r="E596" i="1"/>
  <c r="D596" i="1"/>
  <c r="E595" i="1"/>
  <c r="D595" i="1"/>
  <c r="E594" i="1"/>
  <c r="D594" i="1"/>
  <c r="E593" i="1"/>
  <c r="D593" i="1"/>
  <c r="E592" i="1"/>
  <c r="D592" i="1"/>
  <c r="E591" i="1"/>
  <c r="D591" i="1"/>
  <c r="E590" i="1"/>
  <c r="D590" i="1"/>
  <c r="E589" i="1"/>
  <c r="D589" i="1"/>
  <c r="E588" i="1"/>
  <c r="D588" i="1"/>
  <c r="E587" i="1"/>
  <c r="D587" i="1"/>
  <c r="E586" i="1"/>
  <c r="D586" i="1"/>
  <c r="E585" i="1"/>
  <c r="D585" i="1"/>
  <c r="E584" i="1"/>
  <c r="D584" i="1"/>
  <c r="E583" i="1"/>
  <c r="D583" i="1"/>
  <c r="E582" i="1"/>
  <c r="D582" i="1"/>
  <c r="E581" i="1"/>
  <c r="D581" i="1"/>
  <c r="E580" i="1"/>
  <c r="D580" i="1"/>
  <c r="E579" i="1"/>
  <c r="D579" i="1"/>
  <c r="E578" i="1"/>
  <c r="D578" i="1"/>
  <c r="E577" i="1"/>
  <c r="D577" i="1"/>
  <c r="E576" i="1"/>
  <c r="D576" i="1"/>
  <c r="E575" i="1"/>
  <c r="D575" i="1"/>
  <c r="E574" i="1"/>
  <c r="D574" i="1"/>
  <c r="E573" i="1"/>
  <c r="D573" i="1"/>
  <c r="E572" i="1"/>
  <c r="D572" i="1"/>
  <c r="E571" i="1"/>
  <c r="D571" i="1"/>
  <c r="E570" i="1"/>
  <c r="D570" i="1"/>
  <c r="E569" i="1"/>
  <c r="D569" i="1"/>
  <c r="E568" i="1"/>
  <c r="D568" i="1"/>
  <c r="E567" i="1"/>
  <c r="D567" i="1"/>
  <c r="E566" i="1"/>
  <c r="D566" i="1"/>
  <c r="E565" i="1"/>
  <c r="D565" i="1"/>
  <c r="E564" i="1"/>
  <c r="D564" i="1"/>
  <c r="E563" i="1"/>
  <c r="D563" i="1"/>
  <c r="E562" i="1"/>
  <c r="D562" i="1"/>
  <c r="E561" i="1"/>
  <c r="D561" i="1"/>
  <c r="E560" i="1"/>
  <c r="D560" i="1"/>
  <c r="E559" i="1"/>
  <c r="D559" i="1"/>
  <c r="E558" i="1"/>
  <c r="D558" i="1"/>
  <c r="E557" i="1"/>
  <c r="D557" i="1"/>
  <c r="E556" i="1"/>
  <c r="D556" i="1"/>
  <c r="E555" i="1"/>
  <c r="D555" i="1"/>
  <c r="E554" i="1"/>
  <c r="D554" i="1"/>
  <c r="E553" i="1"/>
  <c r="D553" i="1"/>
  <c r="E552" i="1"/>
  <c r="D552" i="1"/>
  <c r="E551" i="1"/>
  <c r="D551" i="1"/>
  <c r="E550" i="1"/>
  <c r="D550" i="1"/>
  <c r="E549" i="1"/>
  <c r="D549" i="1"/>
  <c r="E548" i="1"/>
  <c r="D548" i="1"/>
  <c r="E547" i="1"/>
  <c r="D547" i="1"/>
  <c r="E546" i="1"/>
  <c r="D546" i="1"/>
  <c r="E545" i="1"/>
  <c r="D545" i="1"/>
  <c r="E544" i="1"/>
  <c r="D544" i="1"/>
  <c r="E543" i="1"/>
  <c r="D543" i="1"/>
  <c r="E542" i="1"/>
  <c r="D542" i="1"/>
  <c r="E541" i="1"/>
  <c r="D541" i="1"/>
  <c r="E540" i="1"/>
  <c r="D540" i="1"/>
  <c r="E539" i="1"/>
  <c r="D539" i="1"/>
  <c r="E538" i="1"/>
  <c r="D538" i="1"/>
  <c r="E537" i="1"/>
  <c r="D537" i="1"/>
  <c r="E536" i="1"/>
  <c r="D536" i="1"/>
  <c r="E535" i="1"/>
  <c r="D535" i="1"/>
  <c r="E534" i="1"/>
  <c r="D534" i="1"/>
  <c r="E533" i="1"/>
  <c r="D533" i="1"/>
  <c r="E532" i="1"/>
  <c r="D532" i="1"/>
  <c r="E531" i="1"/>
  <c r="D531" i="1"/>
  <c r="E530" i="1"/>
  <c r="D530" i="1"/>
  <c r="E529" i="1"/>
  <c r="D529" i="1"/>
  <c r="E528" i="1"/>
  <c r="D528" i="1"/>
  <c r="E527" i="1"/>
  <c r="D527" i="1"/>
  <c r="E526" i="1"/>
  <c r="D526" i="1"/>
  <c r="E525" i="1"/>
  <c r="D525" i="1"/>
  <c r="E524" i="1"/>
  <c r="D524" i="1"/>
  <c r="E523" i="1"/>
  <c r="D523" i="1"/>
  <c r="E522" i="1"/>
  <c r="D522" i="1"/>
  <c r="E521" i="1"/>
  <c r="D521" i="1"/>
  <c r="E520" i="1"/>
  <c r="D520" i="1"/>
  <c r="E519" i="1"/>
  <c r="D519" i="1"/>
  <c r="E518" i="1"/>
  <c r="D518" i="1"/>
  <c r="E517" i="1"/>
  <c r="D517" i="1"/>
  <c r="E516" i="1"/>
  <c r="D516" i="1"/>
  <c r="E515" i="1"/>
  <c r="D515" i="1"/>
  <c r="E514" i="1"/>
  <c r="D514" i="1"/>
  <c r="E513" i="1"/>
  <c r="D513" i="1"/>
  <c r="E512" i="1"/>
  <c r="D512" i="1"/>
  <c r="E511" i="1"/>
  <c r="D511" i="1"/>
  <c r="E510" i="1"/>
  <c r="D510" i="1"/>
  <c r="E509" i="1"/>
  <c r="D509" i="1"/>
  <c r="E508" i="1"/>
  <c r="D508" i="1"/>
  <c r="E507" i="1"/>
  <c r="D507" i="1"/>
  <c r="E506" i="1"/>
  <c r="D506" i="1"/>
  <c r="E505" i="1"/>
  <c r="D505" i="1"/>
  <c r="E504" i="1"/>
  <c r="D504" i="1"/>
  <c r="E503" i="1"/>
  <c r="D503" i="1"/>
  <c r="E502" i="1"/>
  <c r="D502" i="1"/>
  <c r="E501" i="1"/>
  <c r="D501" i="1"/>
  <c r="E500" i="1"/>
  <c r="D500" i="1"/>
  <c r="E499" i="1"/>
  <c r="D499" i="1"/>
  <c r="E498" i="1"/>
  <c r="D498" i="1"/>
  <c r="E497" i="1"/>
  <c r="D497" i="1"/>
  <c r="E496" i="1"/>
  <c r="D496" i="1"/>
  <c r="E495" i="1"/>
  <c r="D495" i="1"/>
  <c r="E494" i="1"/>
  <c r="D494" i="1"/>
  <c r="E493" i="1"/>
  <c r="D493" i="1"/>
  <c r="E492" i="1"/>
  <c r="D492" i="1"/>
  <c r="E491" i="1"/>
  <c r="D491" i="1"/>
  <c r="E490" i="1"/>
  <c r="D490" i="1"/>
  <c r="E489" i="1"/>
  <c r="D489" i="1"/>
  <c r="E488" i="1"/>
  <c r="D488" i="1"/>
  <c r="E487" i="1"/>
  <c r="D487" i="1"/>
  <c r="E486" i="1"/>
  <c r="D486" i="1"/>
  <c r="E485" i="1"/>
  <c r="D485" i="1"/>
  <c r="E484" i="1"/>
  <c r="D484" i="1"/>
  <c r="E483" i="1"/>
  <c r="D483" i="1"/>
  <c r="E482" i="1"/>
  <c r="D482" i="1"/>
  <c r="E481" i="1"/>
  <c r="D481" i="1"/>
  <c r="E480" i="1"/>
  <c r="D480" i="1"/>
  <c r="E479" i="1"/>
  <c r="D479" i="1"/>
  <c r="E478" i="1"/>
  <c r="D478" i="1"/>
  <c r="E477" i="1"/>
  <c r="D477" i="1"/>
  <c r="E476" i="1"/>
  <c r="D476" i="1"/>
  <c r="E475" i="1"/>
  <c r="D475" i="1"/>
  <c r="E474" i="1"/>
  <c r="D474" i="1"/>
  <c r="E473" i="1"/>
  <c r="D473" i="1"/>
  <c r="E472" i="1"/>
  <c r="D472" i="1"/>
  <c r="E471" i="1"/>
  <c r="D471" i="1"/>
  <c r="E470" i="1"/>
  <c r="D470" i="1"/>
  <c r="E469" i="1"/>
  <c r="D469" i="1"/>
  <c r="E468" i="1"/>
  <c r="D468" i="1"/>
  <c r="E467" i="1"/>
  <c r="D467" i="1"/>
  <c r="E466" i="1"/>
  <c r="D466" i="1"/>
  <c r="E465" i="1"/>
  <c r="D465" i="1"/>
  <c r="E464" i="1"/>
  <c r="D464" i="1"/>
  <c r="E463" i="1"/>
  <c r="D463" i="1"/>
  <c r="E462" i="1"/>
  <c r="D462" i="1"/>
  <c r="E461" i="1"/>
  <c r="D461" i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E394" i="1"/>
  <c r="D394" i="1"/>
  <c r="E393" i="1"/>
  <c r="D393" i="1"/>
  <c r="E392" i="1"/>
  <c r="D392" i="1"/>
  <c r="E391" i="1"/>
  <c r="D391" i="1"/>
  <c r="E390" i="1"/>
  <c r="D390" i="1"/>
  <c r="E389" i="1"/>
  <c r="D389" i="1"/>
  <c r="E388" i="1"/>
  <c r="D388" i="1"/>
  <c r="E387" i="1"/>
  <c r="D387" i="1"/>
  <c r="E386" i="1"/>
  <c r="D386" i="1"/>
  <c r="E385" i="1"/>
  <c r="D385" i="1"/>
  <c r="E384" i="1"/>
  <c r="D384" i="1"/>
  <c r="E383" i="1"/>
  <c r="D383" i="1"/>
  <c r="E382" i="1"/>
  <c r="D382" i="1"/>
  <c r="E381" i="1"/>
  <c r="D381" i="1"/>
  <c r="E380" i="1"/>
  <c r="D380" i="1"/>
  <c r="E379" i="1"/>
  <c r="D379" i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E360" i="1"/>
  <c r="D360" i="1"/>
  <c r="E359" i="1"/>
  <c r="D359" i="1"/>
  <c r="E358" i="1"/>
  <c r="D358" i="1"/>
  <c r="E357" i="1"/>
  <c r="D357" i="1"/>
  <c r="E356" i="1"/>
  <c r="D356" i="1"/>
  <c r="E355" i="1"/>
  <c r="D355" i="1"/>
  <c r="E354" i="1"/>
  <c r="D354" i="1"/>
  <c r="E353" i="1"/>
  <c r="D353" i="1"/>
  <c r="E352" i="1"/>
  <c r="D352" i="1"/>
  <c r="E351" i="1"/>
  <c r="D351" i="1"/>
  <c r="E350" i="1"/>
  <c r="D350" i="1"/>
  <c r="E349" i="1"/>
  <c r="D349" i="1"/>
  <c r="E348" i="1"/>
  <c r="D348" i="1"/>
  <c r="E347" i="1"/>
  <c r="D347" i="1"/>
  <c r="E346" i="1"/>
  <c r="D346" i="1"/>
  <c r="E345" i="1"/>
  <c r="D345" i="1"/>
  <c r="E344" i="1"/>
  <c r="D344" i="1"/>
  <c r="E343" i="1"/>
  <c r="D343" i="1"/>
  <c r="E342" i="1"/>
  <c r="D342" i="1"/>
  <c r="E341" i="1"/>
  <c r="D341" i="1"/>
  <c r="E340" i="1"/>
  <c r="D340" i="1"/>
  <c r="E339" i="1"/>
  <c r="D339" i="1"/>
  <c r="E338" i="1"/>
  <c r="D338" i="1"/>
  <c r="E337" i="1"/>
  <c r="D337" i="1"/>
  <c r="E336" i="1"/>
  <c r="D336" i="1"/>
  <c r="E335" i="1"/>
  <c r="D335" i="1"/>
  <c r="E334" i="1"/>
  <c r="D334" i="1"/>
  <c r="E333" i="1"/>
  <c r="D333" i="1"/>
  <c r="E332" i="1"/>
  <c r="D332" i="1"/>
  <c r="E331" i="1"/>
  <c r="D331" i="1"/>
  <c r="E330" i="1"/>
  <c r="D330" i="1"/>
  <c r="E329" i="1"/>
  <c r="D329" i="1"/>
  <c r="E328" i="1"/>
  <c r="D328" i="1"/>
  <c r="E327" i="1"/>
  <c r="D327" i="1"/>
  <c r="E326" i="1"/>
  <c r="D326" i="1"/>
  <c r="E325" i="1"/>
  <c r="D325" i="1"/>
  <c r="E324" i="1"/>
  <c r="D324" i="1"/>
  <c r="E323" i="1"/>
  <c r="D323" i="1"/>
  <c r="E322" i="1"/>
  <c r="D322" i="1"/>
  <c r="E321" i="1"/>
  <c r="D321" i="1"/>
  <c r="E320" i="1"/>
  <c r="D320" i="1"/>
  <c r="E319" i="1"/>
  <c r="D319" i="1"/>
  <c r="E318" i="1"/>
  <c r="D318" i="1"/>
  <c r="E317" i="1"/>
  <c r="D317" i="1"/>
  <c r="E316" i="1"/>
  <c r="D316" i="1"/>
  <c r="E315" i="1"/>
  <c r="D315" i="1"/>
  <c r="E314" i="1"/>
  <c r="D314" i="1"/>
  <c r="E313" i="1"/>
  <c r="D313" i="1"/>
  <c r="E312" i="1"/>
  <c r="D312" i="1"/>
  <c r="E311" i="1"/>
  <c r="D311" i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45" i="1"/>
  <c r="D45" i="1"/>
  <c r="E41" i="1"/>
  <c r="D41" i="1"/>
  <c r="E113" i="1"/>
  <c r="D113" i="1"/>
  <c r="E121" i="1"/>
  <c r="D121" i="1"/>
  <c r="E37" i="1"/>
  <c r="D37" i="1"/>
  <c r="E40" i="1"/>
  <c r="D40" i="1"/>
  <c r="E49" i="1"/>
  <c r="D49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56" i="1"/>
  <c r="D56" i="1"/>
  <c r="E23" i="1"/>
  <c r="D23" i="1"/>
  <c r="E21" i="1"/>
  <c r="D21" i="1"/>
  <c r="E28" i="1"/>
  <c r="D28" i="1"/>
  <c r="E33" i="1"/>
  <c r="D33" i="1"/>
  <c r="E32" i="1"/>
  <c r="D32" i="1"/>
  <c r="E26" i="1"/>
  <c r="D26" i="1"/>
  <c r="E25" i="1"/>
  <c r="D25" i="1"/>
  <c r="E42" i="1"/>
  <c r="D42" i="1"/>
  <c r="E24" i="1"/>
  <c r="D24" i="1"/>
  <c r="E48" i="1"/>
  <c r="D48" i="1"/>
  <c r="E31" i="1"/>
  <c r="D31" i="1"/>
  <c r="E12" i="1"/>
  <c r="D12" i="1"/>
  <c r="E11" i="1"/>
  <c r="D11" i="1"/>
  <c r="E22" i="1"/>
  <c r="D22" i="1"/>
  <c r="E112" i="1"/>
  <c r="D112" i="1"/>
  <c r="E111" i="1"/>
  <c r="D111" i="1"/>
  <c r="E110" i="1"/>
  <c r="D110" i="1"/>
  <c r="E108" i="1"/>
  <c r="D108" i="1"/>
  <c r="E107" i="1"/>
  <c r="D107" i="1"/>
  <c r="E106" i="1"/>
  <c r="D106" i="1"/>
  <c r="E105" i="1"/>
  <c r="D105" i="1"/>
  <c r="E103" i="1"/>
  <c r="D103" i="1"/>
  <c r="E102" i="1"/>
  <c r="D102" i="1"/>
  <c r="E101" i="1"/>
  <c r="D101" i="1"/>
  <c r="E100" i="1"/>
  <c r="D100" i="1"/>
  <c r="E99" i="1"/>
  <c r="D99" i="1"/>
  <c r="E97" i="1"/>
  <c r="D97" i="1"/>
  <c r="E96" i="1"/>
  <c r="D96" i="1"/>
  <c r="E95" i="1"/>
  <c r="D95" i="1"/>
  <c r="E94" i="1"/>
  <c r="D94" i="1"/>
  <c r="E92" i="1"/>
  <c r="D92" i="1"/>
  <c r="E91" i="1"/>
  <c r="D91" i="1"/>
  <c r="E90" i="1"/>
  <c r="D90" i="1"/>
  <c r="E89" i="1"/>
  <c r="D89" i="1"/>
  <c r="E88" i="1"/>
  <c r="D88" i="1"/>
  <c r="E86" i="1"/>
  <c r="D86" i="1"/>
  <c r="E85" i="1"/>
  <c r="D85" i="1"/>
  <c r="E84" i="1"/>
  <c r="D84" i="1"/>
  <c r="E83" i="1"/>
  <c r="D83" i="1"/>
  <c r="E81" i="1"/>
  <c r="D81" i="1"/>
  <c r="E80" i="1"/>
  <c r="D80" i="1"/>
  <c r="E79" i="1"/>
  <c r="D79" i="1"/>
  <c r="E78" i="1"/>
  <c r="D78" i="1"/>
  <c r="E72" i="1"/>
  <c r="D72" i="1"/>
  <c r="E67" i="1"/>
  <c r="D67" i="1"/>
  <c r="E66" i="1"/>
  <c r="D66" i="1"/>
  <c r="E61" i="1"/>
  <c r="D61" i="1"/>
  <c r="E50" i="1"/>
  <c r="D50" i="1"/>
  <c r="E38" i="1"/>
  <c r="D38" i="1"/>
  <c r="E109" i="1"/>
  <c r="D109" i="1"/>
  <c r="E104" i="1"/>
  <c r="D104" i="1"/>
  <c r="E98" i="1"/>
  <c r="D98" i="1"/>
  <c r="E93" i="1"/>
  <c r="D93" i="1"/>
  <c r="E87" i="1"/>
  <c r="D87" i="1"/>
  <c r="E82" i="1"/>
  <c r="D82" i="1"/>
  <c r="E77" i="1"/>
  <c r="D77" i="1"/>
  <c r="E55" i="1"/>
  <c r="D55" i="1"/>
  <c r="E76" i="1"/>
  <c r="D76" i="1"/>
  <c r="E75" i="1"/>
  <c r="D75" i="1"/>
  <c r="E74" i="1"/>
  <c r="D74" i="1"/>
  <c r="E73" i="1"/>
  <c r="D73" i="1"/>
  <c r="E71" i="1"/>
  <c r="D71" i="1"/>
  <c r="E70" i="1"/>
  <c r="D70" i="1"/>
  <c r="E69" i="1"/>
  <c r="D69" i="1"/>
  <c r="E68" i="1"/>
  <c r="D68" i="1"/>
  <c r="E65" i="1"/>
  <c r="D65" i="1"/>
  <c r="E64" i="1"/>
  <c r="D64" i="1"/>
  <c r="E63" i="1"/>
  <c r="D63" i="1"/>
  <c r="E62" i="1"/>
  <c r="D62" i="1"/>
  <c r="E60" i="1"/>
  <c r="D60" i="1"/>
  <c r="E59" i="1"/>
  <c r="D59" i="1"/>
  <c r="E58" i="1"/>
  <c r="D58" i="1"/>
  <c r="E57" i="1"/>
  <c r="D57" i="1"/>
  <c r="E54" i="1"/>
  <c r="D54" i="1"/>
  <c r="E53" i="1"/>
  <c r="D53" i="1"/>
  <c r="E52" i="1"/>
  <c r="D52" i="1"/>
  <c r="E51" i="1"/>
  <c r="D51" i="1"/>
  <c r="E44" i="1"/>
  <c r="D44" i="1"/>
  <c r="E39" i="1"/>
  <c r="D39" i="1"/>
  <c r="E43" i="1"/>
  <c r="D43" i="1"/>
  <c r="E35" i="1"/>
  <c r="D35" i="1"/>
  <c r="E34" i="1"/>
  <c r="D34" i="1"/>
  <c r="E47" i="1"/>
  <c r="D47" i="1"/>
  <c r="E46" i="1"/>
  <c r="D46" i="1"/>
  <c r="E20" i="1"/>
  <c r="D20" i="1"/>
  <c r="E19" i="1"/>
  <c r="D19" i="1"/>
  <c r="E36" i="1"/>
  <c r="D36" i="1"/>
  <c r="E27" i="1"/>
  <c r="D27" i="1"/>
  <c r="E30" i="1"/>
  <c r="D30" i="1"/>
  <c r="E29" i="1"/>
  <c r="D29" i="1"/>
  <c r="E16" i="1"/>
  <c r="D16" i="1"/>
  <c r="E13" i="1"/>
  <c r="D13" i="1"/>
  <c r="E15" i="1"/>
  <c r="D15" i="1"/>
  <c r="E14" i="1"/>
  <c r="D14" i="1"/>
  <c r="E18" i="1"/>
  <c r="D18" i="1"/>
  <c r="E17" i="1"/>
  <c r="D17" i="1"/>
  <c r="K5" i="2" l="1"/>
  <c r="C5" i="2"/>
  <c r="C3" i="2" s="1"/>
  <c r="E6" i="2"/>
  <c r="E4" i="2"/>
  <c r="F4" i="2"/>
  <c r="D6" i="2"/>
  <c r="D4" i="2"/>
  <c r="K4" i="2"/>
  <c r="K6" i="2"/>
  <c r="K7" i="2"/>
  <c r="K3" i="2"/>
  <c r="E3" i="2" l="1"/>
  <c r="F3" i="2"/>
  <c r="D3" i="2"/>
  <c r="D5" i="2"/>
  <c r="F5" i="2"/>
  <c r="E5" i="2"/>
  <c r="K8" i="2"/>
  <c r="L5" i="2" s="1"/>
  <c r="L4" i="2" l="1"/>
  <c r="M3" i="2"/>
  <c r="P3" i="2" s="1"/>
  <c r="L6" i="2"/>
  <c r="L3" i="2"/>
  <c r="L7" i="2"/>
  <c r="M5" i="2"/>
  <c r="P4" i="2" s="1"/>
</calcChain>
</file>

<file path=xl/sharedStrings.xml><?xml version="1.0" encoding="utf-8"?>
<sst xmlns="http://schemas.openxmlformats.org/spreadsheetml/2006/main" count="281" uniqueCount="85">
  <si>
    <t>Scheduled</t>
  </si>
  <si>
    <t>Due</t>
  </si>
  <si>
    <t>Complete</t>
  </si>
  <si>
    <t>Overdue</t>
  </si>
  <si>
    <t>Cost Centre</t>
  </si>
  <si>
    <t>Lead</t>
  </si>
  <si>
    <t>Area</t>
  </si>
  <si>
    <t>Total Tasks</t>
  </si>
  <si>
    <t>Cost Centre Weight</t>
  </si>
  <si>
    <t>Area Weight</t>
  </si>
  <si>
    <t>Today</t>
  </si>
  <si>
    <t>Brent Campbell</t>
  </si>
  <si>
    <t>Mine Mobile</t>
  </si>
  <si>
    <t>This week of</t>
  </si>
  <si>
    <t>Ken Ehry</t>
  </si>
  <si>
    <t>Next week of</t>
  </si>
  <si>
    <t>Paul Rimmer</t>
  </si>
  <si>
    <t>Extraction &amp; Tailings</t>
  </si>
  <si>
    <t>Unscheduled</t>
  </si>
  <si>
    <t>To Do</t>
  </si>
  <si>
    <t>Richard Reis</t>
  </si>
  <si>
    <t>Task</t>
  </si>
  <si>
    <t>Due Date</t>
  </si>
  <si>
    <t>Due Week</t>
  </si>
  <si>
    <t>Completion Date</t>
  </si>
  <si>
    <t>Completion Week</t>
  </si>
  <si>
    <t>Split ShovelTrack site-respective</t>
  </si>
  <si>
    <t>update Master Spool List hours</t>
  </si>
  <si>
    <t>update missed Inspections risk mitigation summary for March report</t>
  </si>
  <si>
    <t>fix Outage Schedule Gantt functionality</t>
  </si>
  <si>
    <t>TD scope</t>
  </si>
  <si>
    <t>went over Train 2 scope with Pat Forbes</t>
  </si>
  <si>
    <t>list daily hours for Line 3 Post-CT on Sensitivities List for spool 250-3S05S18</t>
  </si>
  <si>
    <t>PSV 1 field copy</t>
  </si>
  <si>
    <t>Floats field copy</t>
  </si>
  <si>
    <t>update Outage schedule</t>
  </si>
  <si>
    <t>update Shovel schedule</t>
  </si>
  <si>
    <t>Ergonomics WebCAT training</t>
  </si>
  <si>
    <t>Week of</t>
  </si>
  <si>
    <t>Monthly Compliance</t>
  </si>
  <si>
    <t>call for Sensitivities monitoring</t>
  </si>
  <si>
    <t>built  I/O Office for ML Mobile</t>
  </si>
  <si>
    <t>Last week of</t>
  </si>
  <si>
    <t>Update Master Spool List with CT 2 audit</t>
  </si>
  <si>
    <t>Lastest support/development request for Matt Van Camp's Welders Certification Log</t>
  </si>
  <si>
    <t>updates to Sensitivities list from Stephanie Perham's email</t>
  </si>
  <si>
    <t>update Scheduled Tasks List Audit completions</t>
  </si>
  <si>
    <t>Update to PSV 1 scope</t>
  </si>
  <si>
    <t>Update to PSV 1 master spool list</t>
  </si>
  <si>
    <t>update Sensitivities list about Line 3 (emails from Dylan, Himanshu and Raoul)</t>
  </si>
  <si>
    <t>Update Train 3 roplast changes to Master Spool List</t>
  </si>
  <si>
    <t>support - Compliance</t>
  </si>
  <si>
    <t>support - ITP name update</t>
  </si>
  <si>
    <t>support - "how do you do this" Excel call; make a workbook read-only, write-protect with a password</t>
  </si>
  <si>
    <t>SharePoint; update Lessons Learned</t>
  </si>
  <si>
    <t>Comments</t>
  </si>
  <si>
    <t>This was to support ongoing discussion on whether to intervene; but the decision to intervene was already made.</t>
  </si>
  <si>
    <t>Inspections History - Line 3 Post-CT</t>
  </si>
  <si>
    <t>Inspections History - TD</t>
  </si>
  <si>
    <t>Inspections History - CT 1</t>
  </si>
  <si>
    <t>Inspections History - CT 2</t>
  </si>
  <si>
    <t>Inspections History - Train 3</t>
  </si>
  <si>
    <t>Inspections History - PSV 2</t>
  </si>
  <si>
    <t>Inspections History - Line 2 Pre-CT</t>
  </si>
  <si>
    <t>Inspections History - Train 2</t>
  </si>
  <si>
    <t>Lead Weight</t>
  </si>
  <si>
    <t>Pending receipt of update email; if not received today (Thursday 21st, I'll do this on Monday 25th</t>
  </si>
  <si>
    <t>There is no record of install dates; given they are long life spools (up to 96,000 on many), I can enter an install date across the board of January 1, 2011 and we'll see how that works</t>
  </si>
  <si>
    <t>prepare recommended list of standardized work terminology</t>
  </si>
  <si>
    <t>top priority</t>
  </si>
  <si>
    <t>Raoul Breytenbach</t>
  </si>
  <si>
    <t>AN updated, ML email not received before I signed off for the week</t>
  </si>
  <si>
    <t>update Shovel Schedule, AN</t>
  </si>
  <si>
    <t>update Shovel Schedule, ML</t>
  </si>
  <si>
    <t>help Len with UCT issue</t>
  </si>
  <si>
    <t>Odometer hours not updating through interface; went into tables to update</t>
  </si>
  <si>
    <t>mtg with Matt Van Camp about Welder Certification spreadsheet; data update required</t>
  </si>
  <si>
    <t>Automate population of Last Work Performed columns of Master Spool List</t>
  </si>
  <si>
    <t>he'll email me a workbook with the right headings and some new data. I'll use INDEX/MATCH with a first/last name concatenation key to update to the new sheet in seconds and return to him by following day.</t>
  </si>
  <si>
    <t>update Sensitivities list</t>
  </si>
  <si>
    <t>chipping away (Train 1, Super Pot, PSV 1, Line 1 done thus far)</t>
  </si>
  <si>
    <t>Aurora is done, waiting for Messer's email</t>
  </si>
  <si>
    <t>PSV 1 leak investigation</t>
  </si>
  <si>
    <t>Check I/O Office</t>
  </si>
  <si>
    <t>"Just a heads up that the vacation tracker is acting up.  Both Chad and I can scroll up and down but we can not go sideways.  For Michelle and Brent it works fine. can you have a look into it." Kevin Willford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</si>
</sst>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\-mmm\-yyyy;@"/>
    <numFmt numFmtId="165" formatCode="ddd\,\ d\-mmm\-yyyy"/>
    <numFmt numFmtId="166" formatCode="ddd\,\ mmm\ d\,\ yyyy"/>
  </numFmts>
  <fonts count="5" x14ac:knownFonts="1">
    <font>
      <sz val="11"/>
      <color theme="1"/>
      <name val="Calibri Light"/>
      <family val="2"/>
    </font>
    <font>
      <sz val="11"/>
      <color theme="1"/>
      <name val="Calibri Light"/>
      <family val="2"/>
    </font>
    <font>
      <sz val="11"/>
      <name val="Calibri Light"/>
      <family val="2"/>
    </font>
    <font>
      <i/>
      <sz val="11"/>
      <name val="Calibri Light"/>
      <family val="2"/>
    </font>
    <font>
      <i/>
      <sz val="16"/>
      <name val="Calibri Light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9FFCC"/>
        <bgColor indexed="64"/>
      </patternFill>
    </fill>
  </fills>
  <borders count="15">
    <border>
      <left/>
      <right/>
      <top/>
      <bottom/>
      <diagonal/>
    </border>
    <border>
      <left/>
      <right/>
      <top style="thick">
        <color indexed="64"/>
      </top>
      <bottom style="thin">
        <color auto="1"/>
      </bottom>
      <diagonal/>
    </border>
    <border>
      <left/>
      <right/>
      <top style="thick">
        <color auto="1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9">
    <xf numFmtId="0" fontId="0" fillId="0" borderId="0" xfId="0"/>
    <xf numFmtId="0" fontId="2" fillId="0" borderId="0" xfId="0" applyFont="1" applyBorder="1" applyAlignment="1">
      <alignment vertical="center" wrapText="1"/>
    </xf>
    <xf numFmtId="0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0" xfId="0" applyFont="1" applyAlignment="1">
      <alignment vertical="center"/>
    </xf>
    <xf numFmtId="164" fontId="2" fillId="0" borderId="0" xfId="0" applyNumberFormat="1" applyFont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 vertical="center" wrapText="1"/>
    </xf>
    <xf numFmtId="0" fontId="3" fillId="0" borderId="0" xfId="0" applyFont="1" applyBorder="1" applyAlignment="1">
      <alignment horizontal="right" vertical="center" wrapText="1"/>
    </xf>
    <xf numFmtId="165" fontId="2" fillId="0" borderId="0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/>
    </xf>
    <xf numFmtId="9" fontId="2" fillId="0" borderId="0" xfId="1" applyFont="1" applyAlignment="1">
      <alignment horizontal="center" vertical="center"/>
    </xf>
    <xf numFmtId="0" fontId="2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vertical="center"/>
    </xf>
    <xf numFmtId="9" fontId="2" fillId="0" borderId="6" xfId="1" applyFont="1" applyBorder="1" applyAlignment="1">
      <alignment horizontal="center" vertical="center"/>
    </xf>
    <xf numFmtId="0" fontId="3" fillId="0" borderId="0" xfId="0" applyFont="1" applyAlignment="1">
      <alignment horizontal="right" vertical="center" wrapText="1"/>
    </xf>
    <xf numFmtId="0" fontId="2" fillId="0" borderId="7" xfId="0" applyNumberFormat="1" applyFont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right" vertical="center"/>
    </xf>
    <xf numFmtId="0" fontId="2" fillId="0" borderId="7" xfId="0" applyFont="1" applyBorder="1" applyAlignment="1">
      <alignment vertical="center"/>
    </xf>
    <xf numFmtId="0" fontId="3" fillId="0" borderId="6" xfId="0" applyFont="1" applyBorder="1" applyAlignment="1">
      <alignment horizontal="right" vertical="center" wrapText="1"/>
    </xf>
    <xf numFmtId="0" fontId="2" fillId="0" borderId="6" xfId="0" applyFont="1" applyBorder="1" applyAlignment="1">
      <alignment vertical="center"/>
    </xf>
    <xf numFmtId="0" fontId="2" fillId="0" borderId="6" xfId="0" applyNumberFormat="1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 wrapText="1"/>
    </xf>
    <xf numFmtId="164" fontId="2" fillId="0" borderId="6" xfId="0" applyNumberFormat="1" applyFont="1" applyBorder="1" applyAlignment="1">
      <alignment horizontal="center" vertical="center"/>
    </xf>
    <xf numFmtId="9" fontId="2" fillId="0" borderId="0" xfId="1" applyFont="1" applyBorder="1" applyAlignment="1">
      <alignment horizontal="center" vertical="center"/>
    </xf>
    <xf numFmtId="1" fontId="2" fillId="0" borderId="0" xfId="1" applyNumberFormat="1" applyFont="1" applyAlignment="1">
      <alignment horizontal="center" vertical="center"/>
    </xf>
    <xf numFmtId="0" fontId="2" fillId="0" borderId="3" xfId="0" applyFont="1" applyBorder="1" applyAlignment="1">
      <alignment vertical="center" wrapText="1"/>
    </xf>
    <xf numFmtId="0" fontId="2" fillId="3" borderId="3" xfId="0" applyNumberFormat="1" applyFont="1" applyFill="1" applyBorder="1" applyAlignment="1">
      <alignment horizontal="center" vertical="center"/>
    </xf>
    <xf numFmtId="0" fontId="2" fillId="2" borderId="3" xfId="0" applyNumberFormat="1" applyFont="1" applyFill="1" applyBorder="1" applyAlignment="1">
      <alignment horizontal="center" vertical="center"/>
    </xf>
    <xf numFmtId="0" fontId="2" fillId="2" borderId="3" xfId="0" applyNumberFormat="1" applyFont="1" applyFill="1" applyBorder="1" applyAlignment="1">
      <alignment horizontal="center" vertical="center" wrapText="1"/>
    </xf>
    <xf numFmtId="164" fontId="2" fillId="2" borderId="3" xfId="0" applyNumberFormat="1" applyFont="1" applyFill="1" applyBorder="1" applyAlignment="1">
      <alignment horizontal="center" vertical="center"/>
    </xf>
    <xf numFmtId="0" fontId="2" fillId="0" borderId="9" xfId="0" applyFont="1" applyBorder="1" applyAlignment="1">
      <alignment vertical="center" wrapText="1"/>
    </xf>
    <xf numFmtId="0" fontId="2" fillId="3" borderId="9" xfId="0" applyNumberFormat="1" applyFont="1" applyFill="1" applyBorder="1" applyAlignment="1">
      <alignment horizontal="center" vertical="center"/>
    </xf>
    <xf numFmtId="0" fontId="2" fillId="2" borderId="9" xfId="0" applyNumberFormat="1" applyFont="1" applyFill="1" applyBorder="1" applyAlignment="1">
      <alignment horizontal="center" vertical="center"/>
    </xf>
    <xf numFmtId="0" fontId="2" fillId="2" borderId="9" xfId="0" applyNumberFormat="1" applyFont="1" applyFill="1" applyBorder="1" applyAlignment="1">
      <alignment horizontal="center" vertical="center" wrapText="1"/>
    </xf>
    <xf numFmtId="164" fontId="2" fillId="2" borderId="9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5" fontId="0" fillId="0" borderId="6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2" fillId="0" borderId="3" xfId="0" applyNumberFormat="1" applyFont="1" applyBorder="1" applyAlignment="1">
      <alignment horizontal="center" vertical="center"/>
    </xf>
    <xf numFmtId="166" fontId="2" fillId="0" borderId="9" xfId="0" applyNumberFormat="1" applyFont="1" applyBorder="1" applyAlignment="1">
      <alignment horizontal="center" vertical="center"/>
    </xf>
    <xf numFmtId="0" fontId="4" fillId="2" borderId="10" xfId="0" applyFont="1" applyFill="1" applyBorder="1" applyAlignment="1">
      <alignment vertical="center" wrapText="1"/>
    </xf>
    <xf numFmtId="0" fontId="4" fillId="2" borderId="10" xfId="0" applyNumberFormat="1" applyFont="1" applyFill="1" applyBorder="1" applyAlignment="1">
      <alignment horizontal="center" vertical="center" wrapText="1"/>
    </xf>
    <xf numFmtId="164" fontId="4" fillId="2" borderId="10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2" fillId="2" borderId="1" xfId="0" applyNumberFormat="1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 wrapText="1"/>
    </xf>
    <xf numFmtId="0" fontId="2" fillId="0" borderId="7" xfId="0" applyNumberFormat="1" applyFont="1" applyBorder="1" applyAlignment="1">
      <alignment horizontal="center" vertical="center" wrapText="1"/>
    </xf>
    <xf numFmtId="0" fontId="2" fillId="0" borderId="8" xfId="0" applyNumberFormat="1" applyFont="1" applyBorder="1" applyAlignment="1">
      <alignment horizontal="center" vertical="center" wrapText="1"/>
    </xf>
    <xf numFmtId="0" fontId="2" fillId="0" borderId="9" xfId="0" applyNumberFormat="1" applyFont="1" applyBorder="1" applyAlignment="1">
      <alignment horizontal="center" vertical="center"/>
    </xf>
    <xf numFmtId="0" fontId="2" fillId="0" borderId="9" xfId="0" applyNumberFormat="1" applyFont="1" applyBorder="1" applyAlignment="1">
      <alignment horizontal="center" vertical="center" wrapText="1"/>
    </xf>
    <xf numFmtId="0" fontId="3" fillId="2" borderId="6" xfId="0" applyNumberFormat="1" applyFont="1" applyFill="1" applyBorder="1" applyAlignment="1">
      <alignment horizontal="center" vertical="center"/>
    </xf>
    <xf numFmtId="0" fontId="3" fillId="2" borderId="6" xfId="0" applyNumberFormat="1" applyFont="1" applyFill="1" applyBorder="1" applyAlignment="1">
      <alignment horizontal="center" vertical="center" wrapText="1"/>
    </xf>
    <xf numFmtId="165" fontId="2" fillId="5" borderId="0" xfId="0" applyNumberFormat="1" applyFont="1" applyFill="1" applyBorder="1" applyAlignment="1">
      <alignment horizontal="center" vertical="center"/>
    </xf>
    <xf numFmtId="165" fontId="2" fillId="4" borderId="0" xfId="0" applyNumberFormat="1" applyFont="1" applyFill="1" applyBorder="1" applyAlignment="1">
      <alignment horizontal="center" vertical="center"/>
    </xf>
    <xf numFmtId="165" fontId="2" fillId="6" borderId="0" xfId="0" applyNumberFormat="1" applyFont="1" applyFill="1" applyBorder="1" applyAlignment="1">
      <alignment horizontal="center" vertical="center"/>
    </xf>
    <xf numFmtId="0" fontId="2" fillId="0" borderId="4" xfId="0" applyNumberFormat="1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 indent="2"/>
    </xf>
    <xf numFmtId="0" fontId="2" fillId="0" borderId="7" xfId="0" applyFont="1" applyBorder="1" applyAlignment="1">
      <alignment horizontal="left" vertical="center" indent="2"/>
    </xf>
    <xf numFmtId="0" fontId="2" fillId="0" borderId="7" xfId="0" applyNumberFormat="1" applyFont="1" applyBorder="1" applyAlignment="1">
      <alignment horizontal="left" vertical="center" indent="2"/>
    </xf>
    <xf numFmtId="0" fontId="2" fillId="0" borderId="5" xfId="0" applyNumberFormat="1" applyFont="1" applyBorder="1" applyAlignment="1">
      <alignment horizontal="left" vertical="center" indent="2"/>
    </xf>
    <xf numFmtId="0" fontId="2" fillId="0" borderId="5" xfId="0" applyNumberFormat="1" applyFont="1" applyBorder="1" applyAlignment="1">
      <alignment horizontal="right" vertical="center" indent="1"/>
    </xf>
    <xf numFmtId="1" fontId="2" fillId="0" borderId="11" xfId="0" applyNumberFormat="1" applyFont="1" applyBorder="1" applyAlignment="1">
      <alignment horizontal="center" vertical="center"/>
    </xf>
    <xf numFmtId="1" fontId="2" fillId="0" borderId="12" xfId="0" applyNumberFormat="1" applyFont="1" applyBorder="1" applyAlignment="1">
      <alignment horizontal="center" vertical="center"/>
    </xf>
    <xf numFmtId="1" fontId="2" fillId="0" borderId="13" xfId="0" applyNumberFormat="1" applyFont="1" applyBorder="1" applyAlignment="1">
      <alignment horizontal="center" vertical="center"/>
    </xf>
    <xf numFmtId="1" fontId="2" fillId="0" borderId="14" xfId="0" applyNumberFormat="1" applyFont="1" applyBorder="1" applyAlignment="1">
      <alignment horizontal="center" vertical="center"/>
    </xf>
    <xf numFmtId="9" fontId="0" fillId="0" borderId="0" xfId="0" applyNumberFormat="1"/>
    <xf numFmtId="0" fontId="2" fillId="2" borderId="0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30"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FF00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color auto="1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 val="0"/>
        <i val="0"/>
        <color auto="1"/>
      </font>
      <fill>
        <patternFill>
          <bgColor rgb="FF99FFCC"/>
        </patternFill>
      </fill>
    </dxf>
    <dxf>
      <font>
        <b val="0"/>
        <i val="0"/>
        <color auto="1"/>
      </font>
      <fill>
        <patternFill>
          <bgColor rgb="FF99FFCC"/>
        </patternFill>
      </fill>
    </dxf>
    <dxf>
      <font>
        <b val="0"/>
        <i val="0"/>
        <color auto="1"/>
      </font>
      <fill>
        <patternFill>
          <bgColor rgb="FF99FFCC"/>
        </patternFill>
      </fill>
    </dxf>
    <dxf>
      <font>
        <b val="0"/>
        <i val="0"/>
        <color auto="1"/>
      </font>
      <fill>
        <patternFill>
          <bgColor rgb="FF99FFCC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>
          <bgColor rgb="FF99FFCC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 tint="-0.34998626667073579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FF00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964195832902099E-4"/>
          <c:y val="4.9935400141402991E-2"/>
          <c:w val="0.99959047429893066"/>
          <c:h val="0.47895843472390359"/>
        </c:manualLayout>
      </c:layout>
      <c:ofPieChart>
        <c:ofPieType val="pie"/>
        <c:varyColors val="1"/>
        <c:ser>
          <c:idx val="0"/>
          <c:order val="0"/>
          <c:tx>
            <c:strRef>
              <c:f>Summary!$P$10</c:f>
              <c:strCache>
                <c:ptCount val="1"/>
                <c:pt idx="0">
                  <c:v>Lead Weight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</c:spPr>
          <c:dPt>
            <c:idx val="0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00FF0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1"/>
              <c:layout>
                <c:manualLayout>
                  <c:x val="3.7070637010264529E-2"/>
                  <c:y val="-6.97499397707087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4.3669091104006304E-2"/>
                  <c:y val="2.968364702909351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Summary!$O$11:$O$15</c:f>
              <c:strCache>
                <c:ptCount val="5"/>
                <c:pt idx="0">
                  <c:v>Raoul Breytenbach</c:v>
                </c:pt>
                <c:pt idx="1">
                  <c:v>Brent Campbell</c:v>
                </c:pt>
                <c:pt idx="2">
                  <c:v>Ken Ehry</c:v>
                </c:pt>
                <c:pt idx="3">
                  <c:v>Paul Rimmer</c:v>
                </c:pt>
                <c:pt idx="4">
                  <c:v>Richard Reis</c:v>
                </c:pt>
              </c:strCache>
            </c:strRef>
          </c:cat>
          <c:val>
            <c:numRef>
              <c:f>Summary!$P$11:$P$15</c:f>
              <c:numCache>
                <c:formatCode>0%</c:formatCode>
                <c:ptCount val="5"/>
                <c:pt idx="0">
                  <c:v>0.73333333333333328</c:v>
                </c:pt>
                <c:pt idx="1">
                  <c:v>0.20952380952380953</c:v>
                </c:pt>
                <c:pt idx="2">
                  <c:v>2.8571428571428571E-2</c:v>
                </c:pt>
                <c:pt idx="3">
                  <c:v>1.9047619047619049E-2</c:v>
                </c:pt>
                <c:pt idx="4">
                  <c:v>9.5238095238095247E-3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100"/>
        <c:splitType val="cust"/>
        <c:custSplit>
          <c:secondPiePt val="1"/>
          <c:secondPiePt val="2"/>
          <c:secondPiePt val="3"/>
          <c:secondPiePt val="4"/>
        </c:custSplit>
        <c:secondPieSize val="50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3872649443097339E-2"/>
          <c:y val="0.63168172238594522"/>
          <c:w val="0.96680139621781103"/>
          <c:h val="0.353558280062613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2.7302348485197113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3718716778115781"/>
          <c:y val="0.24504504504504504"/>
          <c:w val="0.39137910800822867"/>
          <c:h val="0.55155727155727152"/>
        </c:manualLayout>
      </c:layout>
      <c:pieChart>
        <c:varyColors val="1"/>
        <c:ser>
          <c:idx val="0"/>
          <c:order val="0"/>
          <c:tx>
            <c:strRef>
              <c:f>Summary!$P$2</c:f>
              <c:strCache>
                <c:ptCount val="1"/>
                <c:pt idx="0">
                  <c:v>Area Weight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1"/>
              <c:layout>
                <c:manualLayout>
                  <c:x val="-5.4794536308786931E-2"/>
                  <c:y val="-5.66280566280566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Summary!$O$3:$O$4</c:f>
              <c:strCache>
                <c:ptCount val="2"/>
                <c:pt idx="0">
                  <c:v>Mine Mobile</c:v>
                </c:pt>
                <c:pt idx="1">
                  <c:v>Extraction &amp; Tailings</c:v>
                </c:pt>
              </c:strCache>
            </c:strRef>
          </c:cat>
          <c:val>
            <c:numRef>
              <c:f>Summary!$P$3:$P$4</c:f>
              <c:numCache>
                <c:formatCode>0%</c:formatCode>
                <c:ptCount val="2"/>
                <c:pt idx="0">
                  <c:v>0.25</c:v>
                </c:pt>
                <c:pt idx="1">
                  <c:v>0.75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2.712029297426745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2013976377952758"/>
          <c:y val="0.22004447360746568"/>
          <c:w val="0.34424934950158659"/>
          <c:h val="0.57479476523767858"/>
        </c:manualLayout>
      </c:layout>
      <c:doughnutChart>
        <c:varyColors val="1"/>
        <c:ser>
          <c:idx val="0"/>
          <c:order val="0"/>
          <c:tx>
            <c:strRef>
              <c:f>Summary!$P$10</c:f>
              <c:strCache>
                <c:ptCount val="1"/>
                <c:pt idx="0">
                  <c:v>Lead Weight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0.16359069011124519"/>
                  <c:y val="9.2592592592591737E-3"/>
                </c:manualLayout>
              </c:layout>
              <c:spPr>
                <a:solidFill>
                  <a:sysClr val="window" lastClr="FFFFFF"/>
                </a:solidFill>
                <a:ln w="9525" cap="flat" cmpd="sng" algn="ctr">
                  <a:solidFill>
                    <a:sysClr val="windowText" lastClr="000000">
                      <a:lumMod val="25000"/>
                      <a:lumOff val="75000"/>
                    </a:sysClr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106891"/>
                        <a:gd name="adj2" fmla="val -65564"/>
                      </a:avLst>
                    </a:prstGeom>
                    <a:noFill/>
                    <a:ln>
                      <a:noFill/>
                    </a:ln>
                  </c15:spPr>
                  <c15:layout/>
                </c:ext>
              </c:extLst>
            </c:dLbl>
            <c:dLbl>
              <c:idx val="1"/>
              <c:layout>
                <c:manualLayout>
                  <c:x val="9.1499877519848991E-2"/>
                  <c:y val="-9.259259259259261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5804524298883008"/>
                  <c:y val="-8.7962962962963007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0.15249979586641488"/>
                  <c:y val="5.5555555555555469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2.7727235612075452E-2"/>
                  <c:y val="-0.15277777777777779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Summary!$O$11:$O$15</c:f>
              <c:strCache>
                <c:ptCount val="5"/>
                <c:pt idx="0">
                  <c:v>Raoul Breytenbach</c:v>
                </c:pt>
                <c:pt idx="1">
                  <c:v>Brent Campbell</c:v>
                </c:pt>
                <c:pt idx="2">
                  <c:v>Ken Ehry</c:v>
                </c:pt>
                <c:pt idx="3">
                  <c:v>Paul Rimmer</c:v>
                </c:pt>
                <c:pt idx="4">
                  <c:v>Richard Reis</c:v>
                </c:pt>
              </c:strCache>
            </c:strRef>
          </c:cat>
          <c:val>
            <c:numRef>
              <c:f>Summary!$P$11:$P$15</c:f>
              <c:numCache>
                <c:formatCode>0%</c:formatCode>
                <c:ptCount val="5"/>
                <c:pt idx="0">
                  <c:v>0.73333333333333328</c:v>
                </c:pt>
                <c:pt idx="1">
                  <c:v>0.20952380952380953</c:v>
                </c:pt>
                <c:pt idx="2">
                  <c:v>2.8571428571428571E-2</c:v>
                </c:pt>
                <c:pt idx="3">
                  <c:v>1.9047619047619049E-2</c:v>
                </c:pt>
                <c:pt idx="4">
                  <c:v>9.5238095238095247E-3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177992</xdr:colOff>
          <xdr:row>1</xdr:row>
          <xdr:rowOff>116416</xdr:rowOff>
        </xdr:from>
        <xdr:to>
          <xdr:col>8</xdr:col>
          <xdr:colOff>624417</xdr:colOff>
          <xdr:row>8</xdr:row>
          <xdr:rowOff>620119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Summary!$B$2:$M$9" spid="_x0000_s117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9659" y="275166"/>
              <a:ext cx="10691091" cy="256745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8</xdr:col>
      <xdr:colOff>666751</xdr:colOff>
      <xdr:row>1</xdr:row>
      <xdr:rowOff>104773</xdr:rowOff>
    </xdr:from>
    <xdr:to>
      <xdr:col>9</xdr:col>
      <xdr:colOff>3595159</xdr:colOff>
      <xdr:row>8</xdr:row>
      <xdr:rowOff>328083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77392</xdr:colOff>
      <xdr:row>0</xdr:row>
      <xdr:rowOff>200024</xdr:rowOff>
    </xdr:from>
    <xdr:to>
      <xdr:col>18</xdr:col>
      <xdr:colOff>130969</xdr:colOff>
      <xdr:row>7</xdr:row>
      <xdr:rowOff>5952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797720</xdr:colOff>
      <xdr:row>11</xdr:row>
      <xdr:rowOff>116681</xdr:rowOff>
    </xdr:from>
    <xdr:to>
      <xdr:col>13</xdr:col>
      <xdr:colOff>154782</xdr:colOff>
      <xdr:row>26</xdr:row>
      <xdr:rowOff>2381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R1007"/>
  <sheetViews>
    <sheetView showGridLines="0" tabSelected="1" zoomScale="90" zoomScaleNormal="90" workbookViewId="0">
      <pane ySplit="10" topLeftCell="A118" activePane="bottomLeft" state="frozen"/>
      <selection pane="bottomLeft" activeCell="J123" sqref="J123"/>
    </sheetView>
  </sheetViews>
  <sheetFormatPr defaultRowHeight="20.100000000000001" customHeight="1" x14ac:dyDescent="0.25"/>
  <cols>
    <col min="1" max="1" width="2.75" style="6" customWidth="1"/>
    <col min="2" max="2" width="34.875" style="14" customWidth="1"/>
    <col min="3" max="3" width="16.375" style="15" customWidth="1"/>
    <col min="4" max="4" width="15.625" style="15" customWidth="1"/>
    <col min="5" max="5" width="19.375" style="16" customWidth="1"/>
    <col min="6" max="6" width="19.375" style="7" customWidth="1"/>
    <col min="7" max="7" width="12" style="7" customWidth="1"/>
    <col min="8" max="8" width="16.625" style="7" customWidth="1"/>
    <col min="9" max="9" width="17.625" style="7" customWidth="1"/>
    <col min="10" max="10" width="47.25" style="6" customWidth="1"/>
    <col min="11" max="11" width="10.375" style="6" customWidth="1"/>
    <col min="12" max="12" width="48.5" style="6" customWidth="1"/>
    <col min="13" max="13" width="17" style="6" customWidth="1"/>
    <col min="14" max="14" width="19" style="6" customWidth="1"/>
    <col min="15" max="15" width="9" style="6"/>
    <col min="16" max="16" width="10" style="6" customWidth="1"/>
    <col min="17" max="17" width="9" style="6"/>
    <col min="18" max="18" width="3.625" style="5" customWidth="1"/>
    <col min="19" max="19" width="9.375" style="6" customWidth="1"/>
    <col min="20" max="20" width="17.125" style="6" customWidth="1"/>
    <col min="21" max="21" width="16.75" style="6" customWidth="1"/>
    <col min="22" max="22" width="9" style="6"/>
    <col min="23" max="23" width="10" style="6" customWidth="1"/>
    <col min="24" max="16384" width="9" style="6"/>
  </cols>
  <sheetData>
    <row r="1" spans="2:18" ht="12.75" customHeight="1" x14ac:dyDescent="0.25">
      <c r="B1" s="1"/>
      <c r="C1" s="2"/>
      <c r="D1" s="2"/>
      <c r="E1" s="3"/>
      <c r="F1" s="4"/>
      <c r="G1" s="4"/>
      <c r="H1" s="4"/>
      <c r="I1" s="4"/>
      <c r="J1" s="5"/>
      <c r="M1" s="5"/>
      <c r="N1" s="5"/>
      <c r="O1" s="5"/>
      <c r="P1" s="5"/>
      <c r="Q1" s="5"/>
    </row>
    <row r="2" spans="2:18" ht="47.25" customHeight="1" x14ac:dyDescent="0.25">
      <c r="B2" s="1"/>
      <c r="C2" s="2"/>
      <c r="D2" s="2"/>
      <c r="E2" s="3"/>
      <c r="F2" s="4"/>
      <c r="R2" s="6"/>
    </row>
    <row r="3" spans="2:18" ht="20.100000000000001" customHeight="1" x14ac:dyDescent="0.25">
      <c r="R3" s="6"/>
    </row>
    <row r="4" spans="2:18" ht="20.100000000000001" customHeight="1" x14ac:dyDescent="0.25">
      <c r="R4" s="6"/>
    </row>
    <row r="5" spans="2:18" ht="20.100000000000001" customHeight="1" x14ac:dyDescent="0.25">
      <c r="R5" s="6"/>
    </row>
    <row r="6" spans="2:18" ht="20.100000000000001" customHeight="1" x14ac:dyDescent="0.25">
      <c r="R6" s="6"/>
    </row>
    <row r="7" spans="2:18" ht="20.100000000000001" customHeight="1" x14ac:dyDescent="0.25">
      <c r="R7" s="6"/>
    </row>
    <row r="8" spans="2:18" ht="20.100000000000001" customHeight="1" x14ac:dyDescent="0.25">
      <c r="R8" s="6"/>
    </row>
    <row r="9" spans="2:18" ht="70.5" customHeight="1" thickBot="1" x14ac:dyDescent="0.3">
      <c r="B9" s="17"/>
      <c r="C9" s="6"/>
      <c r="F9" s="4"/>
    </row>
    <row r="10" spans="2:18" s="14" customFormat="1" ht="55.5" customHeight="1" x14ac:dyDescent="0.25">
      <c r="B10" s="51" t="s">
        <v>21</v>
      </c>
      <c r="C10" s="52" t="s">
        <v>5</v>
      </c>
      <c r="D10" s="52" t="s">
        <v>4</v>
      </c>
      <c r="E10" s="52" t="s">
        <v>6</v>
      </c>
      <c r="F10" s="53" t="s">
        <v>22</v>
      </c>
      <c r="G10" s="53" t="s">
        <v>23</v>
      </c>
      <c r="H10" s="53" t="s">
        <v>24</v>
      </c>
      <c r="I10" s="53" t="s">
        <v>25</v>
      </c>
      <c r="J10" s="51" t="s">
        <v>55</v>
      </c>
      <c r="K10" s="1"/>
      <c r="L10" s="1"/>
      <c r="M10" s="1"/>
      <c r="R10" s="1"/>
    </row>
    <row r="11" spans="2:18" ht="39.950000000000003" customHeight="1" x14ac:dyDescent="0.25">
      <c r="B11" s="36" t="s">
        <v>41</v>
      </c>
      <c r="C11" s="37" t="s">
        <v>14</v>
      </c>
      <c r="D11" s="38">
        <f t="shared" ref="D11:D74" si="0">IF($C11="","",INDEX(TaskListCostCentres,MATCH($C11,TaskListLeads,FALSE),1))</f>
        <v>100633</v>
      </c>
      <c r="E11" s="39" t="str">
        <f>IF($C11="","",INDEX(Summary!$J$3:$J$7,MATCH($C11,TaskListLeads,FALSE),1))</f>
        <v>Mine Mobile</v>
      </c>
      <c r="F11" s="49">
        <v>42439</v>
      </c>
      <c r="G11" s="40">
        <f t="shared" ref="G11:G74" si="1">IF($F11="","",INDEX(ControlWeeksOf,MATCH($F11,ControlWeeksOf,TRUE),1))</f>
        <v>42435</v>
      </c>
      <c r="H11" s="49">
        <v>42439</v>
      </c>
      <c r="I11" s="40">
        <f t="shared" ref="I11:I74" si="2">IF($H11="","",INDEX(ControlWeeksOf,MATCH($H11,ControlWeeksOf,TRUE),1))</f>
        <v>42435</v>
      </c>
      <c r="J11" s="36"/>
    </row>
    <row r="12" spans="2:18" ht="39.950000000000003" customHeight="1" x14ac:dyDescent="0.25">
      <c r="B12" s="41" t="s">
        <v>39</v>
      </c>
      <c r="C12" s="42" t="s">
        <v>11</v>
      </c>
      <c r="D12" s="43">
        <f t="shared" si="0"/>
        <v>100196</v>
      </c>
      <c r="E12" s="44" t="str">
        <f>IF($C12="","",INDEX(Summary!$J$3:$J$7,MATCH($C12,TaskListLeads,FALSE),1))</f>
        <v>Mine Mobile</v>
      </c>
      <c r="F12" s="50">
        <v>42467</v>
      </c>
      <c r="G12" s="45">
        <f t="shared" si="1"/>
        <v>42463</v>
      </c>
      <c r="H12" s="50">
        <v>42467</v>
      </c>
      <c r="I12" s="45">
        <f t="shared" si="2"/>
        <v>42463</v>
      </c>
      <c r="J12" s="41"/>
    </row>
    <row r="13" spans="2:18" ht="39.950000000000003" customHeight="1" x14ac:dyDescent="0.25">
      <c r="B13" s="41" t="s">
        <v>30</v>
      </c>
      <c r="C13" s="42" t="s">
        <v>70</v>
      </c>
      <c r="D13" s="43">
        <f t="shared" si="0"/>
        <v>100876</v>
      </c>
      <c r="E13" s="44" t="str">
        <f>IF($C13="","",INDEX(Summary!$J$3:$J$7,MATCH($C13,TaskListLeads,FALSE),1))</f>
        <v>Extraction &amp; Tailings</v>
      </c>
      <c r="F13" s="50">
        <v>42471</v>
      </c>
      <c r="G13" s="45">
        <f t="shared" si="1"/>
        <v>42470</v>
      </c>
      <c r="H13" s="50">
        <v>42471</v>
      </c>
      <c r="I13" s="45">
        <f t="shared" si="2"/>
        <v>42470</v>
      </c>
      <c r="J13" s="41"/>
    </row>
    <row r="14" spans="2:18" ht="39.950000000000003" customHeight="1" x14ac:dyDescent="0.25">
      <c r="B14" s="41" t="s">
        <v>28</v>
      </c>
      <c r="C14" s="42" t="s">
        <v>11</v>
      </c>
      <c r="D14" s="43">
        <f t="shared" si="0"/>
        <v>100196</v>
      </c>
      <c r="E14" s="44" t="str">
        <f>IF($C14="","",INDEX(Summary!$J$3:$J$7,MATCH($C14,TaskListLeads,FALSE),1))</f>
        <v>Mine Mobile</v>
      </c>
      <c r="F14" s="50">
        <v>42472</v>
      </c>
      <c r="G14" s="45">
        <f t="shared" si="1"/>
        <v>42470</v>
      </c>
      <c r="H14" s="50">
        <v>42472</v>
      </c>
      <c r="I14" s="45">
        <f t="shared" si="2"/>
        <v>42470</v>
      </c>
      <c r="J14" s="41"/>
    </row>
    <row r="15" spans="2:18" ht="39.950000000000003" customHeight="1" x14ac:dyDescent="0.25">
      <c r="B15" s="41" t="s">
        <v>29</v>
      </c>
      <c r="C15" s="42" t="s">
        <v>70</v>
      </c>
      <c r="D15" s="43">
        <f t="shared" si="0"/>
        <v>100876</v>
      </c>
      <c r="E15" s="44" t="str">
        <f>IF($C15="","",INDEX(Summary!$J$3:$J$7,MATCH($C15,TaskListLeads,FALSE),1))</f>
        <v>Extraction &amp; Tailings</v>
      </c>
      <c r="F15" s="50">
        <v>42472</v>
      </c>
      <c r="G15" s="45">
        <f t="shared" si="1"/>
        <v>42470</v>
      </c>
      <c r="H15" s="50">
        <v>42472</v>
      </c>
      <c r="I15" s="45">
        <f t="shared" si="2"/>
        <v>42470</v>
      </c>
      <c r="J15" s="41"/>
    </row>
    <row r="16" spans="2:18" ht="39.950000000000003" customHeight="1" x14ac:dyDescent="0.25">
      <c r="B16" s="41" t="s">
        <v>31</v>
      </c>
      <c r="C16" s="42" t="s">
        <v>70</v>
      </c>
      <c r="D16" s="43">
        <f t="shared" si="0"/>
        <v>100876</v>
      </c>
      <c r="E16" s="44" t="str">
        <f>IF($C16="","",INDEX(Summary!$J$3:$J$7,MATCH($C16,TaskListLeads,FALSE),1))</f>
        <v>Extraction &amp; Tailings</v>
      </c>
      <c r="F16" s="50">
        <v>42472</v>
      </c>
      <c r="G16" s="45">
        <f t="shared" si="1"/>
        <v>42470</v>
      </c>
      <c r="H16" s="50">
        <v>42472</v>
      </c>
      <c r="I16" s="45">
        <f t="shared" si="2"/>
        <v>42470</v>
      </c>
      <c r="J16" s="41"/>
    </row>
    <row r="17" spans="2:10" ht="39.950000000000003" customHeight="1" x14ac:dyDescent="0.25">
      <c r="B17" s="41" t="s">
        <v>26</v>
      </c>
      <c r="C17" s="42" t="s">
        <v>11</v>
      </c>
      <c r="D17" s="43">
        <f t="shared" si="0"/>
        <v>100196</v>
      </c>
      <c r="E17" s="44" t="str">
        <f>IF($C17="","",INDEX(Summary!$J$3:$J$7,MATCH($C17,TaskListLeads,FALSE),1))</f>
        <v>Mine Mobile</v>
      </c>
      <c r="F17" s="50">
        <v>42473</v>
      </c>
      <c r="G17" s="45">
        <f t="shared" si="1"/>
        <v>42470</v>
      </c>
      <c r="H17" s="50">
        <v>42473</v>
      </c>
      <c r="I17" s="45">
        <f t="shared" si="2"/>
        <v>42470</v>
      </c>
      <c r="J17" s="41"/>
    </row>
    <row r="18" spans="2:10" ht="39.950000000000003" customHeight="1" x14ac:dyDescent="0.25">
      <c r="B18" s="41" t="s">
        <v>27</v>
      </c>
      <c r="C18" s="42" t="s">
        <v>70</v>
      </c>
      <c r="D18" s="43">
        <f t="shared" si="0"/>
        <v>100876</v>
      </c>
      <c r="E18" s="44" t="str">
        <f>IF($C18="","",INDEX(Summary!$J$3:$J$7,MATCH($C18,TaskListLeads,FALSE),1))</f>
        <v>Extraction &amp; Tailings</v>
      </c>
      <c r="F18" s="50">
        <v>42473</v>
      </c>
      <c r="G18" s="45">
        <f t="shared" si="1"/>
        <v>42470</v>
      </c>
      <c r="H18" s="50">
        <v>42473</v>
      </c>
      <c r="I18" s="45">
        <f t="shared" si="2"/>
        <v>42470</v>
      </c>
      <c r="J18" s="41"/>
    </row>
    <row r="19" spans="2:10" ht="39.950000000000003" customHeight="1" x14ac:dyDescent="0.25">
      <c r="B19" s="41" t="s">
        <v>35</v>
      </c>
      <c r="C19" s="42" t="s">
        <v>70</v>
      </c>
      <c r="D19" s="43">
        <f t="shared" si="0"/>
        <v>100876</v>
      </c>
      <c r="E19" s="44" t="str">
        <f>IF($C19="","",INDEX(Summary!$J$3:$J$7,MATCH($C19,TaskListLeads,FALSE),1))</f>
        <v>Extraction &amp; Tailings</v>
      </c>
      <c r="F19" s="50">
        <v>42474</v>
      </c>
      <c r="G19" s="45">
        <f t="shared" si="1"/>
        <v>42470</v>
      </c>
      <c r="H19" s="50">
        <v>42474</v>
      </c>
      <c r="I19" s="45">
        <f t="shared" si="2"/>
        <v>42470</v>
      </c>
      <c r="J19" s="41"/>
    </row>
    <row r="20" spans="2:10" ht="39.950000000000003" customHeight="1" x14ac:dyDescent="0.25">
      <c r="B20" s="41" t="s">
        <v>36</v>
      </c>
      <c r="C20" s="42" t="s">
        <v>11</v>
      </c>
      <c r="D20" s="43">
        <f t="shared" si="0"/>
        <v>100196</v>
      </c>
      <c r="E20" s="44" t="str">
        <f>IF($C20="","",INDEX(Summary!$J$3:$J$7,MATCH($C20,TaskListLeads,FALSE),1))</f>
        <v>Mine Mobile</v>
      </c>
      <c r="F20" s="50">
        <v>42474</v>
      </c>
      <c r="G20" s="45">
        <f t="shared" si="1"/>
        <v>42470</v>
      </c>
      <c r="H20" s="50">
        <v>42474</v>
      </c>
      <c r="I20" s="45">
        <f t="shared" si="2"/>
        <v>42470</v>
      </c>
      <c r="J20" s="41"/>
    </row>
    <row r="21" spans="2:10" ht="39.950000000000003" customHeight="1" x14ac:dyDescent="0.25">
      <c r="B21" s="41" t="s">
        <v>53</v>
      </c>
      <c r="C21" s="42" t="s">
        <v>70</v>
      </c>
      <c r="D21" s="43">
        <f t="shared" si="0"/>
        <v>100876</v>
      </c>
      <c r="E21" s="44" t="str">
        <f>IF($C21="","",INDEX(Summary!$J$3:$J$7,MATCH($C21,TaskListLeads,FALSE),1))</f>
        <v>Extraction &amp; Tailings</v>
      </c>
      <c r="F21" s="50">
        <v>42474</v>
      </c>
      <c r="G21" s="45">
        <f t="shared" si="1"/>
        <v>42470</v>
      </c>
      <c r="H21" s="50">
        <v>42474</v>
      </c>
      <c r="I21" s="45">
        <f t="shared" si="2"/>
        <v>42470</v>
      </c>
      <c r="J21" s="41"/>
    </row>
    <row r="22" spans="2:10" ht="39.950000000000003" customHeight="1" x14ac:dyDescent="0.25">
      <c r="B22" s="41" t="s">
        <v>43</v>
      </c>
      <c r="C22" s="42" t="s">
        <v>70</v>
      </c>
      <c r="D22" s="43">
        <f t="shared" si="0"/>
        <v>100876</v>
      </c>
      <c r="E22" s="44" t="str">
        <f>IF($C22="","",INDEX(Summary!$J$3:$J$7,MATCH($C22,TaskListLeads,FALSE),1))</f>
        <v>Extraction &amp; Tailings</v>
      </c>
      <c r="F22" s="50">
        <v>42478</v>
      </c>
      <c r="G22" s="45">
        <f t="shared" si="1"/>
        <v>42477</v>
      </c>
      <c r="H22" s="50">
        <v>42478</v>
      </c>
      <c r="I22" s="45">
        <f t="shared" si="2"/>
        <v>42477</v>
      </c>
      <c r="J22" s="41"/>
    </row>
    <row r="23" spans="2:10" ht="39.950000000000003" customHeight="1" x14ac:dyDescent="0.25">
      <c r="B23" s="41" t="s">
        <v>54</v>
      </c>
      <c r="C23" s="42" t="s">
        <v>20</v>
      </c>
      <c r="D23" s="43">
        <f t="shared" si="0"/>
        <v>100272</v>
      </c>
      <c r="E23" s="44" t="str">
        <f>IF($C23="","",INDEX(Summary!$J$3:$J$7,MATCH($C23,TaskListLeads,FALSE),1))</f>
        <v>Extraction &amp; Tailings</v>
      </c>
      <c r="F23" s="50">
        <v>42478</v>
      </c>
      <c r="G23" s="45">
        <f t="shared" si="1"/>
        <v>42477</v>
      </c>
      <c r="H23" s="50">
        <v>42478</v>
      </c>
      <c r="I23" s="45">
        <f t="shared" si="2"/>
        <v>42477</v>
      </c>
      <c r="J23" s="41"/>
    </row>
    <row r="24" spans="2:10" ht="39.950000000000003" customHeight="1" x14ac:dyDescent="0.25">
      <c r="B24" s="41" t="s">
        <v>45</v>
      </c>
      <c r="C24" s="42" t="s">
        <v>70</v>
      </c>
      <c r="D24" s="43">
        <f t="shared" si="0"/>
        <v>100876</v>
      </c>
      <c r="E24" s="44" t="str">
        <f>IF($C24="","",INDEX(Summary!$J$3:$J$7,MATCH($C24,TaskListLeads,FALSE),1))</f>
        <v>Extraction &amp; Tailings</v>
      </c>
      <c r="F24" s="50">
        <v>42479</v>
      </c>
      <c r="G24" s="45">
        <f t="shared" si="1"/>
        <v>42477</v>
      </c>
      <c r="H24" s="50">
        <v>42480</v>
      </c>
      <c r="I24" s="45">
        <f t="shared" si="2"/>
        <v>42477</v>
      </c>
      <c r="J24" s="41"/>
    </row>
    <row r="25" spans="2:10" ht="39.950000000000003" customHeight="1" x14ac:dyDescent="0.25">
      <c r="B25" s="41" t="s">
        <v>47</v>
      </c>
      <c r="C25" s="42" t="s">
        <v>70</v>
      </c>
      <c r="D25" s="43">
        <f t="shared" si="0"/>
        <v>100876</v>
      </c>
      <c r="E25" s="44" t="str">
        <f>IF($C25="","",INDEX(Summary!$J$3:$J$7,MATCH($C25,TaskListLeads,FALSE),1))</f>
        <v>Extraction &amp; Tailings</v>
      </c>
      <c r="F25" s="50">
        <v>42479</v>
      </c>
      <c r="G25" s="45">
        <f t="shared" si="1"/>
        <v>42477</v>
      </c>
      <c r="H25" s="50">
        <v>42479</v>
      </c>
      <c r="I25" s="45">
        <f t="shared" si="2"/>
        <v>42477</v>
      </c>
      <c r="J25" s="41"/>
    </row>
    <row r="26" spans="2:10" ht="39.950000000000003" customHeight="1" x14ac:dyDescent="0.25">
      <c r="B26" s="41" t="s">
        <v>48</v>
      </c>
      <c r="C26" s="42" t="s">
        <v>70</v>
      </c>
      <c r="D26" s="43">
        <f t="shared" si="0"/>
        <v>100876</v>
      </c>
      <c r="E26" s="44" t="str">
        <f>IF($C26="","",INDEX(Summary!$J$3:$J$7,MATCH($C26,TaskListLeads,FALSE),1))</f>
        <v>Extraction &amp; Tailings</v>
      </c>
      <c r="F26" s="50">
        <v>42479</v>
      </c>
      <c r="G26" s="45">
        <f t="shared" si="1"/>
        <v>42477</v>
      </c>
      <c r="H26" s="50">
        <v>42479</v>
      </c>
      <c r="I26" s="45">
        <f t="shared" si="2"/>
        <v>42477</v>
      </c>
      <c r="J26" s="41"/>
    </row>
    <row r="27" spans="2:10" ht="39.950000000000003" customHeight="1" x14ac:dyDescent="0.25">
      <c r="B27" s="41" t="s">
        <v>33</v>
      </c>
      <c r="C27" s="42" t="s">
        <v>70</v>
      </c>
      <c r="D27" s="43">
        <f t="shared" si="0"/>
        <v>100876</v>
      </c>
      <c r="E27" s="44" t="str">
        <f>IF($C27="","",INDEX(Summary!$J$3:$J$7,MATCH($C27,TaskListLeads,FALSE),1))</f>
        <v>Extraction &amp; Tailings</v>
      </c>
      <c r="F27" s="50">
        <v>42479</v>
      </c>
      <c r="G27" s="45">
        <f t="shared" si="1"/>
        <v>42477</v>
      </c>
      <c r="H27" s="50">
        <v>42479</v>
      </c>
      <c r="I27" s="45">
        <f t="shared" si="2"/>
        <v>42477</v>
      </c>
      <c r="J27" s="41"/>
    </row>
    <row r="28" spans="2:10" ht="39.950000000000003" customHeight="1" x14ac:dyDescent="0.25">
      <c r="B28" s="41" t="s">
        <v>51</v>
      </c>
      <c r="C28" s="42" t="s">
        <v>14</v>
      </c>
      <c r="D28" s="43">
        <f t="shared" si="0"/>
        <v>100633</v>
      </c>
      <c r="E28" s="44" t="str">
        <f>IF($C28="","",INDEX(Summary!$J$3:$J$7,MATCH($C28,TaskListLeads,FALSE),1))</f>
        <v>Mine Mobile</v>
      </c>
      <c r="F28" s="50">
        <v>42479</v>
      </c>
      <c r="G28" s="45">
        <f t="shared" si="1"/>
        <v>42477</v>
      </c>
      <c r="H28" s="50">
        <v>42479</v>
      </c>
      <c r="I28" s="45">
        <f t="shared" si="2"/>
        <v>42477</v>
      </c>
      <c r="J28" s="41"/>
    </row>
    <row r="29" spans="2:10" ht="39.950000000000003" customHeight="1" x14ac:dyDescent="0.25">
      <c r="B29" s="41" t="s">
        <v>27</v>
      </c>
      <c r="C29" s="42" t="s">
        <v>70</v>
      </c>
      <c r="D29" s="43">
        <f t="shared" si="0"/>
        <v>100876</v>
      </c>
      <c r="E29" s="44" t="str">
        <f>IF($C29="","",INDEX(Summary!$J$3:$J$7,MATCH($C29,TaskListLeads,FALSE),1))</f>
        <v>Extraction &amp; Tailings</v>
      </c>
      <c r="F29" s="50">
        <v>42480</v>
      </c>
      <c r="G29" s="45">
        <f t="shared" si="1"/>
        <v>42477</v>
      </c>
      <c r="H29" s="50">
        <v>42480</v>
      </c>
      <c r="I29" s="45">
        <f t="shared" si="2"/>
        <v>42477</v>
      </c>
      <c r="J29" s="41"/>
    </row>
    <row r="30" spans="2:10" ht="39.950000000000003" customHeight="1" x14ac:dyDescent="0.25">
      <c r="B30" s="41" t="s">
        <v>32</v>
      </c>
      <c r="C30" s="42" t="s">
        <v>70</v>
      </c>
      <c r="D30" s="43">
        <f t="shared" si="0"/>
        <v>100876</v>
      </c>
      <c r="E30" s="44" t="str">
        <f>IF($C30="","",INDEX(Summary!$J$3:$J$7,MATCH($C30,TaskListLeads,FALSE),1))</f>
        <v>Extraction &amp; Tailings</v>
      </c>
      <c r="F30" s="50">
        <v>42480</v>
      </c>
      <c r="G30" s="45">
        <f t="shared" si="1"/>
        <v>42477</v>
      </c>
      <c r="H30" s="50">
        <v>42480</v>
      </c>
      <c r="I30" s="45">
        <f t="shared" si="2"/>
        <v>42477</v>
      </c>
      <c r="J30" s="41" t="s">
        <v>56</v>
      </c>
    </row>
    <row r="31" spans="2:10" ht="39.950000000000003" customHeight="1" x14ac:dyDescent="0.25">
      <c r="B31" s="41" t="s">
        <v>44</v>
      </c>
      <c r="C31" s="42" t="s">
        <v>16</v>
      </c>
      <c r="D31" s="43">
        <f t="shared" si="0"/>
        <v>100520</v>
      </c>
      <c r="E31" s="44" t="str">
        <f>IF($C31="","",INDEX(Summary!$J$3:$J$7,MATCH($C31,TaskListLeads,FALSE),1))</f>
        <v>Extraction &amp; Tailings</v>
      </c>
      <c r="F31" s="50">
        <v>42480</v>
      </c>
      <c r="G31" s="45">
        <f t="shared" si="1"/>
        <v>42477</v>
      </c>
      <c r="H31" s="50">
        <v>42480</v>
      </c>
      <c r="I31" s="45">
        <f t="shared" si="2"/>
        <v>42477</v>
      </c>
      <c r="J31" s="41"/>
    </row>
    <row r="32" spans="2:10" ht="39.950000000000003" customHeight="1" x14ac:dyDescent="0.25">
      <c r="B32" s="41" t="s">
        <v>49</v>
      </c>
      <c r="C32" s="42" t="s">
        <v>70</v>
      </c>
      <c r="D32" s="43">
        <f t="shared" si="0"/>
        <v>100876</v>
      </c>
      <c r="E32" s="44" t="str">
        <f>IF($C32="","",INDEX(Summary!$J$3:$J$7,MATCH($C32,TaskListLeads,FALSE),1))</f>
        <v>Extraction &amp; Tailings</v>
      </c>
      <c r="F32" s="50">
        <v>42480</v>
      </c>
      <c r="G32" s="45">
        <f t="shared" si="1"/>
        <v>42477</v>
      </c>
      <c r="H32" s="50">
        <v>42480</v>
      </c>
      <c r="I32" s="45">
        <f t="shared" si="2"/>
        <v>42477</v>
      </c>
      <c r="J32" s="41"/>
    </row>
    <row r="33" spans="2:10" ht="39.950000000000003" customHeight="1" x14ac:dyDescent="0.25">
      <c r="B33" s="41" t="s">
        <v>52</v>
      </c>
      <c r="C33" s="42" t="s">
        <v>14</v>
      </c>
      <c r="D33" s="43">
        <f t="shared" si="0"/>
        <v>100633</v>
      </c>
      <c r="E33" s="44" t="str">
        <f>IF($C33="","",INDEX(Summary!$J$3:$J$7,MATCH($C33,TaskListLeads,FALSE),1))</f>
        <v>Mine Mobile</v>
      </c>
      <c r="F33" s="50">
        <v>42480</v>
      </c>
      <c r="G33" s="45">
        <f t="shared" si="1"/>
        <v>42477</v>
      </c>
      <c r="H33" s="50">
        <v>42480</v>
      </c>
      <c r="I33" s="45">
        <f t="shared" si="2"/>
        <v>42477</v>
      </c>
      <c r="J33" s="41"/>
    </row>
    <row r="34" spans="2:10" ht="39.950000000000003" customHeight="1" x14ac:dyDescent="0.25">
      <c r="B34" s="41" t="s">
        <v>35</v>
      </c>
      <c r="C34" s="42" t="s">
        <v>70</v>
      </c>
      <c r="D34" s="43">
        <f t="shared" si="0"/>
        <v>100876</v>
      </c>
      <c r="E34" s="44" t="str">
        <f>IF($C34="","",INDEX(Summary!$J$3:$J$7,MATCH($C34,TaskListLeads,FALSE),1))</f>
        <v>Extraction &amp; Tailings</v>
      </c>
      <c r="F34" s="50">
        <v>42481</v>
      </c>
      <c r="G34" s="45">
        <f t="shared" si="1"/>
        <v>42477</v>
      </c>
      <c r="H34" s="50">
        <v>42481</v>
      </c>
      <c r="I34" s="45">
        <f t="shared" si="2"/>
        <v>42477</v>
      </c>
      <c r="J34" s="41" t="s">
        <v>66</v>
      </c>
    </row>
    <row r="35" spans="2:10" ht="39.950000000000003" customHeight="1" x14ac:dyDescent="0.25">
      <c r="B35" s="41" t="s">
        <v>72</v>
      </c>
      <c r="C35" s="42" t="s">
        <v>11</v>
      </c>
      <c r="D35" s="43">
        <f t="shared" si="0"/>
        <v>100196</v>
      </c>
      <c r="E35" s="44" t="str">
        <f>IF($C35="","",INDEX(Summary!$J$3:$J$7,MATCH($C35,TaskListLeads,FALSE),1))</f>
        <v>Mine Mobile</v>
      </c>
      <c r="F35" s="50">
        <v>42481</v>
      </c>
      <c r="G35" s="45">
        <f t="shared" si="1"/>
        <v>42477</v>
      </c>
      <c r="H35" s="50">
        <v>42481</v>
      </c>
      <c r="I35" s="45">
        <f t="shared" si="2"/>
        <v>42477</v>
      </c>
      <c r="J35" s="41" t="s">
        <v>71</v>
      </c>
    </row>
    <row r="36" spans="2:10" ht="39.950000000000003" customHeight="1" x14ac:dyDescent="0.25">
      <c r="B36" s="41" t="s">
        <v>34</v>
      </c>
      <c r="C36" s="42" t="s">
        <v>70</v>
      </c>
      <c r="D36" s="43">
        <f t="shared" si="0"/>
        <v>100876</v>
      </c>
      <c r="E36" s="44" t="str">
        <f>IF($C36="","",INDEX(Summary!$J$3:$J$7,MATCH($C36,TaskListLeads,FALSE),1))</f>
        <v>Extraction &amp; Tailings</v>
      </c>
      <c r="F36" s="50">
        <v>42485</v>
      </c>
      <c r="G36" s="45">
        <f t="shared" si="1"/>
        <v>42484</v>
      </c>
      <c r="H36" s="50">
        <v>42485</v>
      </c>
      <c r="I36" s="45">
        <f t="shared" si="2"/>
        <v>42484</v>
      </c>
      <c r="J36" s="41" t="s">
        <v>67</v>
      </c>
    </row>
    <row r="37" spans="2:10" ht="39.950000000000003" customHeight="1" x14ac:dyDescent="0.25">
      <c r="B37" s="41" t="s">
        <v>73</v>
      </c>
      <c r="C37" s="42" t="s">
        <v>11</v>
      </c>
      <c r="D37" s="43">
        <f t="shared" si="0"/>
        <v>100196</v>
      </c>
      <c r="E37" s="44" t="str">
        <f>IF($C37="","",INDEX(Summary!$J$3:$J$7,MATCH($C37,TaskListLeads,FALSE),1))</f>
        <v>Mine Mobile</v>
      </c>
      <c r="F37" s="50">
        <v>42485</v>
      </c>
      <c r="G37" s="45">
        <f t="shared" si="1"/>
        <v>42484</v>
      </c>
      <c r="H37" s="50">
        <v>42485</v>
      </c>
      <c r="I37" s="45">
        <f t="shared" si="2"/>
        <v>42484</v>
      </c>
      <c r="J37" s="41"/>
    </row>
    <row r="38" spans="2:10" ht="39.950000000000003" customHeight="1" x14ac:dyDescent="0.25">
      <c r="B38" s="41" t="s">
        <v>40</v>
      </c>
      <c r="C38" s="42" t="s">
        <v>70</v>
      </c>
      <c r="D38" s="43">
        <f t="shared" si="0"/>
        <v>100876</v>
      </c>
      <c r="E38" s="44" t="str">
        <f>IF($C38="","",INDEX(Summary!$J$3:$J$7,MATCH($C38,TaskListLeads,FALSE),1))</f>
        <v>Extraction &amp; Tailings</v>
      </c>
      <c r="F38" s="50">
        <v>42488</v>
      </c>
      <c r="G38" s="45">
        <f t="shared" si="1"/>
        <v>42484</v>
      </c>
      <c r="H38" s="50">
        <v>42488</v>
      </c>
      <c r="I38" s="45">
        <f t="shared" si="2"/>
        <v>42484</v>
      </c>
      <c r="J38" s="41"/>
    </row>
    <row r="39" spans="2:10" ht="39.950000000000003" customHeight="1" x14ac:dyDescent="0.25">
      <c r="B39" s="41" t="s">
        <v>35</v>
      </c>
      <c r="C39" s="42" t="s">
        <v>70</v>
      </c>
      <c r="D39" s="43">
        <f t="shared" si="0"/>
        <v>100876</v>
      </c>
      <c r="E39" s="44" t="str">
        <f>IF($C39="","",INDEX(Summary!$J$3:$J$7,MATCH($C39,TaskListLeads,FALSE),1))</f>
        <v>Extraction &amp; Tailings</v>
      </c>
      <c r="F39" s="50">
        <v>42488</v>
      </c>
      <c r="G39" s="45">
        <f t="shared" si="1"/>
        <v>42484</v>
      </c>
      <c r="H39" s="50">
        <v>42488</v>
      </c>
      <c r="I39" s="45">
        <f t="shared" si="2"/>
        <v>42484</v>
      </c>
      <c r="J39" s="41"/>
    </row>
    <row r="40" spans="2:10" ht="39.950000000000003" customHeight="1" x14ac:dyDescent="0.25">
      <c r="B40" s="41" t="s">
        <v>68</v>
      </c>
      <c r="C40" s="42" t="s">
        <v>70</v>
      </c>
      <c r="D40" s="43">
        <f t="shared" si="0"/>
        <v>100876</v>
      </c>
      <c r="E40" s="44" t="str">
        <f>IF($C40="","",INDEX(Summary!$J$3:$J$7,MATCH($C40,TaskListLeads,FALSE),1))</f>
        <v>Extraction &amp; Tailings</v>
      </c>
      <c r="F40" s="50">
        <v>42488</v>
      </c>
      <c r="G40" s="45">
        <f t="shared" si="1"/>
        <v>42484</v>
      </c>
      <c r="H40" s="50">
        <v>42488</v>
      </c>
      <c r="I40" s="45">
        <f t="shared" si="2"/>
        <v>42484</v>
      </c>
      <c r="J40" s="41" t="s">
        <v>69</v>
      </c>
    </row>
    <row r="41" spans="2:10" ht="39.950000000000003" customHeight="1" x14ac:dyDescent="0.25">
      <c r="B41" s="41" t="s">
        <v>79</v>
      </c>
      <c r="C41" s="42" t="s">
        <v>70</v>
      </c>
      <c r="D41" s="43">
        <f t="shared" si="0"/>
        <v>100876</v>
      </c>
      <c r="E41" s="44" t="str">
        <f>IF($C41="","",INDEX(Summary!$J$3:$J$7,MATCH($C41,TaskListLeads,FALSE),1))</f>
        <v>Extraction &amp; Tailings</v>
      </c>
      <c r="F41" s="50">
        <v>42488</v>
      </c>
      <c r="G41" s="45">
        <f t="shared" si="1"/>
        <v>42484</v>
      </c>
      <c r="H41" s="50">
        <v>42488</v>
      </c>
      <c r="I41" s="45">
        <f t="shared" si="2"/>
        <v>42484</v>
      </c>
      <c r="J41" s="41"/>
    </row>
    <row r="42" spans="2:10" ht="39.950000000000003" customHeight="1" x14ac:dyDescent="0.25">
      <c r="B42" s="41" t="s">
        <v>46</v>
      </c>
      <c r="C42" s="42" t="s">
        <v>70</v>
      </c>
      <c r="D42" s="43">
        <f t="shared" si="0"/>
        <v>100876</v>
      </c>
      <c r="E42" s="44" t="str">
        <f>IF($C42="","",INDEX(Summary!$J$3:$J$7,MATCH($C42,TaskListLeads,FALSE),1))</f>
        <v>Extraction &amp; Tailings</v>
      </c>
      <c r="F42" s="50">
        <v>42494</v>
      </c>
      <c r="G42" s="45">
        <f t="shared" si="1"/>
        <v>42491</v>
      </c>
      <c r="H42" s="50"/>
      <c r="I42" s="45" t="str">
        <f t="shared" si="2"/>
        <v/>
      </c>
      <c r="J42" s="41"/>
    </row>
    <row r="43" spans="2:10" ht="39.950000000000003" customHeight="1" x14ac:dyDescent="0.25">
      <c r="B43" s="41" t="s">
        <v>27</v>
      </c>
      <c r="C43" s="42" t="s">
        <v>70</v>
      </c>
      <c r="D43" s="43">
        <f t="shared" si="0"/>
        <v>100876</v>
      </c>
      <c r="E43" s="44" t="str">
        <f>IF($C43="","",INDEX(Summary!$J$3:$J$7,MATCH($C43,TaskListLeads,FALSE),1))</f>
        <v>Extraction &amp; Tailings</v>
      </c>
      <c r="F43" s="50">
        <v>42494</v>
      </c>
      <c r="G43" s="45">
        <f t="shared" si="1"/>
        <v>42491</v>
      </c>
      <c r="H43" s="50"/>
      <c r="I43" s="45" t="str">
        <f t="shared" si="2"/>
        <v/>
      </c>
      <c r="J43" s="41"/>
    </row>
    <row r="44" spans="2:10" ht="39.950000000000003" customHeight="1" x14ac:dyDescent="0.25">
      <c r="B44" s="41" t="s">
        <v>36</v>
      </c>
      <c r="C44" s="42" t="s">
        <v>11</v>
      </c>
      <c r="D44" s="43">
        <f t="shared" si="0"/>
        <v>100196</v>
      </c>
      <c r="E44" s="44" t="str">
        <f>IF($C44="","",INDEX(Summary!$J$3:$J$7,MATCH($C44,TaskListLeads,FALSE),1))</f>
        <v>Mine Mobile</v>
      </c>
      <c r="F44" s="50">
        <v>42493</v>
      </c>
      <c r="G44" s="45">
        <f t="shared" si="1"/>
        <v>42491</v>
      </c>
      <c r="H44" s="50"/>
      <c r="I44" s="45" t="str">
        <f t="shared" si="2"/>
        <v/>
      </c>
      <c r="J44" s="41" t="s">
        <v>81</v>
      </c>
    </row>
    <row r="45" spans="2:10" ht="39.950000000000003" customHeight="1" x14ac:dyDescent="0.25">
      <c r="B45" s="41" t="s">
        <v>82</v>
      </c>
      <c r="C45" s="42" t="s">
        <v>70</v>
      </c>
      <c r="D45" s="43">
        <f t="shared" si="0"/>
        <v>100876</v>
      </c>
      <c r="E45" s="44" t="str">
        <f>IF($C45="","",INDEX(Summary!$J$3:$J$7,MATCH($C45,TaskListLeads,FALSE),1))</f>
        <v>Extraction &amp; Tailings</v>
      </c>
      <c r="F45" s="50">
        <v>42492</v>
      </c>
      <c r="G45" s="45">
        <f t="shared" si="1"/>
        <v>42491</v>
      </c>
      <c r="H45" s="50">
        <v>42492</v>
      </c>
      <c r="I45" s="45">
        <f t="shared" si="2"/>
        <v>42491</v>
      </c>
      <c r="J45" s="41"/>
    </row>
    <row r="46" spans="2:10" ht="39.950000000000003" customHeight="1" x14ac:dyDescent="0.25">
      <c r="B46" s="41" t="s">
        <v>37</v>
      </c>
      <c r="C46" s="42" t="s">
        <v>11</v>
      </c>
      <c r="D46" s="43">
        <f t="shared" si="0"/>
        <v>100196</v>
      </c>
      <c r="E46" s="44" t="str">
        <f>IF($C46="","",INDEX(Summary!$J$3:$J$7,MATCH($C46,TaskListLeads,FALSE),1))</f>
        <v>Mine Mobile</v>
      </c>
      <c r="F46" s="50">
        <v>42494</v>
      </c>
      <c r="G46" s="45">
        <f t="shared" si="1"/>
        <v>42491</v>
      </c>
      <c r="H46" s="50"/>
      <c r="I46" s="45" t="str">
        <f t="shared" si="2"/>
        <v/>
      </c>
      <c r="J46" s="41"/>
    </row>
    <row r="47" spans="2:10" ht="39.950000000000003" customHeight="1" x14ac:dyDescent="0.25">
      <c r="B47" s="41" t="s">
        <v>37</v>
      </c>
      <c r="C47" s="42" t="s">
        <v>16</v>
      </c>
      <c r="D47" s="43">
        <f t="shared" si="0"/>
        <v>100520</v>
      </c>
      <c r="E47" s="44" t="str">
        <f>IF($C47="","",INDEX(Summary!$J$3:$J$7,MATCH($C47,TaskListLeads,FALSE),1))</f>
        <v>Extraction &amp; Tailings</v>
      </c>
      <c r="F47" s="50">
        <v>42494</v>
      </c>
      <c r="G47" s="45">
        <f t="shared" si="1"/>
        <v>42491</v>
      </c>
      <c r="H47" s="50"/>
      <c r="I47" s="45" t="str">
        <f t="shared" si="2"/>
        <v/>
      </c>
      <c r="J47" s="41"/>
    </row>
    <row r="48" spans="2:10" ht="39.950000000000003" customHeight="1" x14ac:dyDescent="0.25">
      <c r="B48" s="41" t="s">
        <v>50</v>
      </c>
      <c r="C48" s="42" t="s">
        <v>70</v>
      </c>
      <c r="D48" s="43">
        <f t="shared" si="0"/>
        <v>100876</v>
      </c>
      <c r="E48" s="44" t="str">
        <f>IF($C48="","",INDEX(Summary!$J$3:$J$7,MATCH($C48,TaskListLeads,FALSE),1))</f>
        <v>Extraction &amp; Tailings</v>
      </c>
      <c r="F48" s="50">
        <v>42495</v>
      </c>
      <c r="G48" s="45">
        <f t="shared" si="1"/>
        <v>42491</v>
      </c>
      <c r="H48" s="50"/>
      <c r="I48" s="45" t="str">
        <f t="shared" si="2"/>
        <v/>
      </c>
      <c r="J48" s="41"/>
    </row>
    <row r="49" spans="2:10" ht="39.950000000000003" customHeight="1" x14ac:dyDescent="0.25">
      <c r="B49" s="41" t="s">
        <v>77</v>
      </c>
      <c r="C49" s="42" t="s">
        <v>70</v>
      </c>
      <c r="D49" s="43">
        <f t="shared" si="0"/>
        <v>100876</v>
      </c>
      <c r="E49" s="44" t="str">
        <f>IF($C49="","",INDEX(Summary!$J$3:$J$7,MATCH($C49,TaskListLeads,FALSE),1))</f>
        <v>Extraction &amp; Tailings</v>
      </c>
      <c r="F49" s="50">
        <v>42495</v>
      </c>
      <c r="G49" s="45">
        <f t="shared" si="1"/>
        <v>42491</v>
      </c>
      <c r="H49" s="50"/>
      <c r="I49" s="45" t="str">
        <f t="shared" si="2"/>
        <v/>
      </c>
      <c r="J49" s="41" t="s">
        <v>80</v>
      </c>
    </row>
    <row r="50" spans="2:10" ht="39.950000000000003" customHeight="1" x14ac:dyDescent="0.25">
      <c r="B50" s="41" t="s">
        <v>40</v>
      </c>
      <c r="C50" s="42" t="s">
        <v>70</v>
      </c>
      <c r="D50" s="43">
        <f t="shared" si="0"/>
        <v>100876</v>
      </c>
      <c r="E50" s="44" t="str">
        <f>IF($C50="","",INDEX(Summary!$J$3:$J$7,MATCH($C50,TaskListLeads,FALSE),1))</f>
        <v>Extraction &amp; Tailings</v>
      </c>
      <c r="F50" s="50">
        <v>42495</v>
      </c>
      <c r="G50" s="45">
        <f t="shared" si="1"/>
        <v>42491</v>
      </c>
      <c r="H50" s="50"/>
      <c r="I50" s="45" t="str">
        <f t="shared" si="2"/>
        <v/>
      </c>
      <c r="J50" s="41"/>
    </row>
    <row r="51" spans="2:10" ht="39.950000000000003" customHeight="1" x14ac:dyDescent="0.25">
      <c r="B51" s="41" t="s">
        <v>35</v>
      </c>
      <c r="C51" s="42" t="s">
        <v>70</v>
      </c>
      <c r="D51" s="43">
        <f t="shared" si="0"/>
        <v>100876</v>
      </c>
      <c r="E51" s="44" t="str">
        <f>IF($C51="","",INDEX(Summary!$J$3:$J$7,MATCH($C51,TaskListLeads,FALSE),1))</f>
        <v>Extraction &amp; Tailings</v>
      </c>
      <c r="F51" s="50">
        <v>42495</v>
      </c>
      <c r="G51" s="45">
        <f t="shared" si="1"/>
        <v>42491</v>
      </c>
      <c r="H51" s="50"/>
      <c r="I51" s="45" t="str">
        <f t="shared" si="2"/>
        <v/>
      </c>
      <c r="J51" s="41"/>
    </row>
    <row r="52" spans="2:10" ht="39.950000000000003" customHeight="1" x14ac:dyDescent="0.25">
      <c r="B52" s="41" t="s">
        <v>36</v>
      </c>
      <c r="C52" s="42" t="s">
        <v>11</v>
      </c>
      <c r="D52" s="43">
        <f t="shared" si="0"/>
        <v>100196</v>
      </c>
      <c r="E52" s="44" t="str">
        <f>IF($C52="","",INDEX(Summary!$J$3:$J$7,MATCH($C52,TaskListLeads,FALSE),1))</f>
        <v>Mine Mobile</v>
      </c>
      <c r="F52" s="50">
        <v>42495</v>
      </c>
      <c r="G52" s="45">
        <f t="shared" si="1"/>
        <v>42491</v>
      </c>
      <c r="H52" s="50"/>
      <c r="I52" s="45" t="str">
        <f t="shared" si="2"/>
        <v/>
      </c>
      <c r="J52" s="41"/>
    </row>
    <row r="53" spans="2:10" ht="39.950000000000003" customHeight="1" x14ac:dyDescent="0.25">
      <c r="B53" s="41" t="s">
        <v>27</v>
      </c>
      <c r="C53" s="42" t="s">
        <v>70</v>
      </c>
      <c r="D53" s="43">
        <f t="shared" si="0"/>
        <v>100876</v>
      </c>
      <c r="E53" s="44" t="str">
        <f>IF($C53="","",INDEX(Summary!$J$3:$J$7,MATCH($C53,TaskListLeads,FALSE),1))</f>
        <v>Extraction &amp; Tailings</v>
      </c>
      <c r="F53" s="50">
        <v>42495</v>
      </c>
      <c r="G53" s="45">
        <f t="shared" si="1"/>
        <v>42491</v>
      </c>
      <c r="H53" s="50"/>
      <c r="I53" s="45" t="str">
        <f t="shared" si="2"/>
        <v/>
      </c>
      <c r="J53" s="41"/>
    </row>
    <row r="54" spans="2:10" ht="39.950000000000003" customHeight="1" x14ac:dyDescent="0.25">
      <c r="B54" s="41" t="s">
        <v>35</v>
      </c>
      <c r="C54" s="42" t="s">
        <v>70</v>
      </c>
      <c r="D54" s="43">
        <f t="shared" si="0"/>
        <v>100876</v>
      </c>
      <c r="E54" s="44" t="str">
        <f>IF($C54="","",INDEX(Summary!$J$3:$J$7,MATCH($C54,TaskListLeads,FALSE),1))</f>
        <v>Extraction &amp; Tailings</v>
      </c>
      <c r="F54" s="50">
        <v>42495</v>
      </c>
      <c r="G54" s="45">
        <f t="shared" si="1"/>
        <v>42491</v>
      </c>
      <c r="H54" s="50"/>
      <c r="I54" s="45" t="str">
        <f t="shared" si="2"/>
        <v/>
      </c>
      <c r="J54" s="41"/>
    </row>
    <row r="55" spans="2:10" ht="39.950000000000003" customHeight="1" x14ac:dyDescent="0.25">
      <c r="B55" s="41" t="s">
        <v>39</v>
      </c>
      <c r="C55" s="42" t="s">
        <v>11</v>
      </c>
      <c r="D55" s="43">
        <f t="shared" si="0"/>
        <v>100196</v>
      </c>
      <c r="E55" s="44" t="str">
        <f>IF($C55="","",INDEX(Summary!$J$3:$J$7,MATCH($C55,TaskListLeads,FALSE),1))</f>
        <v>Mine Mobile</v>
      </c>
      <c r="F55" s="50">
        <v>42496</v>
      </c>
      <c r="G55" s="45">
        <f t="shared" si="1"/>
        <v>42491</v>
      </c>
      <c r="H55" s="50"/>
      <c r="I55" s="45" t="str">
        <f t="shared" si="2"/>
        <v/>
      </c>
      <c r="J55" s="41"/>
    </row>
    <row r="56" spans="2:10" ht="39.950000000000003" customHeight="1" x14ac:dyDescent="0.25">
      <c r="B56" s="41" t="s">
        <v>57</v>
      </c>
      <c r="C56" s="42" t="s">
        <v>70</v>
      </c>
      <c r="D56" s="43">
        <f t="shared" si="0"/>
        <v>100876</v>
      </c>
      <c r="E56" s="44" t="str">
        <f>IF($C56="","",INDEX(Summary!$J$3:$J$7,MATCH($C56,TaskListLeads,FALSE),1))</f>
        <v>Extraction &amp; Tailings</v>
      </c>
      <c r="F56" s="50">
        <v>42501</v>
      </c>
      <c r="G56" s="45">
        <f t="shared" si="1"/>
        <v>42498</v>
      </c>
      <c r="H56" s="50"/>
      <c r="I56" s="45" t="str">
        <f t="shared" si="2"/>
        <v/>
      </c>
      <c r="J56" s="41"/>
    </row>
    <row r="57" spans="2:10" ht="39.950000000000003" customHeight="1" x14ac:dyDescent="0.25">
      <c r="B57" s="41" t="s">
        <v>36</v>
      </c>
      <c r="C57" s="42" t="s">
        <v>11</v>
      </c>
      <c r="D57" s="43">
        <f t="shared" si="0"/>
        <v>100196</v>
      </c>
      <c r="E57" s="44" t="str">
        <f>IF($C57="","",INDEX(Summary!$J$3:$J$7,MATCH($C57,TaskListLeads,FALSE),1))</f>
        <v>Mine Mobile</v>
      </c>
      <c r="F57" s="50">
        <v>42502</v>
      </c>
      <c r="G57" s="45">
        <f t="shared" si="1"/>
        <v>42498</v>
      </c>
      <c r="H57" s="50"/>
      <c r="I57" s="45" t="str">
        <f t="shared" si="2"/>
        <v/>
      </c>
      <c r="J57" s="41"/>
    </row>
    <row r="58" spans="2:10" ht="39.950000000000003" customHeight="1" x14ac:dyDescent="0.25">
      <c r="B58" s="41" t="s">
        <v>27</v>
      </c>
      <c r="C58" s="42" t="s">
        <v>70</v>
      </c>
      <c r="D58" s="43">
        <f t="shared" si="0"/>
        <v>100876</v>
      </c>
      <c r="E58" s="44" t="str">
        <f>IF($C58="","",INDEX(Summary!$J$3:$J$7,MATCH($C58,TaskListLeads,FALSE),1))</f>
        <v>Extraction &amp; Tailings</v>
      </c>
      <c r="F58" s="50">
        <v>42502</v>
      </c>
      <c r="G58" s="45">
        <f t="shared" si="1"/>
        <v>42498</v>
      </c>
      <c r="H58" s="50"/>
      <c r="I58" s="45" t="str">
        <f t="shared" si="2"/>
        <v/>
      </c>
      <c r="J58" s="41"/>
    </row>
    <row r="59" spans="2:10" ht="39.950000000000003" customHeight="1" x14ac:dyDescent="0.25">
      <c r="B59" s="41" t="s">
        <v>35</v>
      </c>
      <c r="C59" s="42" t="s">
        <v>70</v>
      </c>
      <c r="D59" s="43">
        <f t="shared" si="0"/>
        <v>100876</v>
      </c>
      <c r="E59" s="44" t="str">
        <f>IF($C59="","",INDEX(Summary!$J$3:$J$7,MATCH($C59,TaskListLeads,FALSE),1))</f>
        <v>Extraction &amp; Tailings</v>
      </c>
      <c r="F59" s="50">
        <v>42502</v>
      </c>
      <c r="G59" s="45">
        <f t="shared" si="1"/>
        <v>42498</v>
      </c>
      <c r="H59" s="50"/>
      <c r="I59" s="45" t="str">
        <f t="shared" si="2"/>
        <v/>
      </c>
      <c r="J59" s="41"/>
    </row>
    <row r="60" spans="2:10" ht="39.950000000000003" customHeight="1" x14ac:dyDescent="0.25">
      <c r="B60" s="41" t="s">
        <v>36</v>
      </c>
      <c r="C60" s="42" t="s">
        <v>11</v>
      </c>
      <c r="D60" s="43">
        <f t="shared" si="0"/>
        <v>100196</v>
      </c>
      <c r="E60" s="44" t="str">
        <f>IF($C60="","",INDEX(Summary!$J$3:$J$7,MATCH($C60,TaskListLeads,FALSE),1))</f>
        <v>Mine Mobile</v>
      </c>
      <c r="F60" s="50">
        <v>42502</v>
      </c>
      <c r="G60" s="45">
        <f t="shared" si="1"/>
        <v>42498</v>
      </c>
      <c r="H60" s="50"/>
      <c r="I60" s="45" t="str">
        <f t="shared" si="2"/>
        <v/>
      </c>
      <c r="J60" s="41"/>
    </row>
    <row r="61" spans="2:10" ht="39.950000000000003" customHeight="1" x14ac:dyDescent="0.25">
      <c r="B61" s="41" t="s">
        <v>40</v>
      </c>
      <c r="C61" s="42" t="s">
        <v>70</v>
      </c>
      <c r="D61" s="43">
        <f t="shared" si="0"/>
        <v>100876</v>
      </c>
      <c r="E61" s="44" t="str">
        <f>IF($C61="","",INDEX(Summary!$J$3:$J$7,MATCH($C61,TaskListLeads,FALSE),1))</f>
        <v>Extraction &amp; Tailings</v>
      </c>
      <c r="F61" s="50">
        <v>42509</v>
      </c>
      <c r="G61" s="45">
        <f t="shared" si="1"/>
        <v>42505</v>
      </c>
      <c r="H61" s="50"/>
      <c r="I61" s="45" t="str">
        <f t="shared" si="2"/>
        <v/>
      </c>
      <c r="J61" s="41"/>
    </row>
    <row r="62" spans="2:10" ht="39.950000000000003" customHeight="1" x14ac:dyDescent="0.25">
      <c r="B62" s="41" t="s">
        <v>27</v>
      </c>
      <c r="C62" s="42" t="s">
        <v>70</v>
      </c>
      <c r="D62" s="43">
        <f t="shared" si="0"/>
        <v>100876</v>
      </c>
      <c r="E62" s="44" t="str">
        <f>IF($C62="","",INDEX(Summary!$J$3:$J$7,MATCH($C62,TaskListLeads,FALSE),1))</f>
        <v>Extraction &amp; Tailings</v>
      </c>
      <c r="F62" s="50">
        <v>42509</v>
      </c>
      <c r="G62" s="45">
        <f t="shared" si="1"/>
        <v>42505</v>
      </c>
      <c r="H62" s="50"/>
      <c r="I62" s="45" t="str">
        <f t="shared" si="2"/>
        <v/>
      </c>
      <c r="J62" s="41"/>
    </row>
    <row r="63" spans="2:10" ht="39.950000000000003" customHeight="1" x14ac:dyDescent="0.25">
      <c r="B63" s="41" t="s">
        <v>35</v>
      </c>
      <c r="C63" s="42" t="s">
        <v>70</v>
      </c>
      <c r="D63" s="43">
        <f t="shared" si="0"/>
        <v>100876</v>
      </c>
      <c r="E63" s="44" t="str">
        <f>IF($C63="","",INDEX(Summary!$J$3:$J$7,MATCH($C63,TaskListLeads,FALSE),1))</f>
        <v>Extraction &amp; Tailings</v>
      </c>
      <c r="F63" s="50">
        <v>42509</v>
      </c>
      <c r="G63" s="45">
        <f t="shared" si="1"/>
        <v>42505</v>
      </c>
      <c r="H63" s="50"/>
      <c r="I63" s="45" t="str">
        <f t="shared" si="2"/>
        <v/>
      </c>
      <c r="J63" s="41"/>
    </row>
    <row r="64" spans="2:10" ht="39.950000000000003" customHeight="1" x14ac:dyDescent="0.25">
      <c r="B64" s="41" t="s">
        <v>36</v>
      </c>
      <c r="C64" s="42" t="s">
        <v>11</v>
      </c>
      <c r="D64" s="43">
        <f t="shared" si="0"/>
        <v>100196</v>
      </c>
      <c r="E64" s="44" t="str">
        <f>IF($C64="","",INDEX(Summary!$J$3:$J$7,MATCH($C64,TaskListLeads,FALSE),1))</f>
        <v>Mine Mobile</v>
      </c>
      <c r="F64" s="50">
        <v>42509</v>
      </c>
      <c r="G64" s="45">
        <f t="shared" si="1"/>
        <v>42505</v>
      </c>
      <c r="H64" s="50"/>
      <c r="I64" s="45" t="str">
        <f t="shared" si="2"/>
        <v/>
      </c>
      <c r="J64" s="41"/>
    </row>
    <row r="65" spans="2:10" ht="39.950000000000003" customHeight="1" x14ac:dyDescent="0.25">
      <c r="B65" s="41" t="s">
        <v>27</v>
      </c>
      <c r="C65" s="42" t="s">
        <v>70</v>
      </c>
      <c r="D65" s="43">
        <f t="shared" si="0"/>
        <v>100876</v>
      </c>
      <c r="E65" s="44" t="str">
        <f>IF($C65="","",INDEX(Summary!$J$3:$J$7,MATCH($C65,TaskListLeads,FALSE),1))</f>
        <v>Extraction &amp; Tailings</v>
      </c>
      <c r="F65" s="50">
        <v>42509</v>
      </c>
      <c r="G65" s="45">
        <f t="shared" si="1"/>
        <v>42505</v>
      </c>
      <c r="H65" s="50"/>
      <c r="I65" s="45" t="str">
        <f t="shared" si="2"/>
        <v/>
      </c>
      <c r="J65" s="41"/>
    </row>
    <row r="66" spans="2:10" ht="39.950000000000003" customHeight="1" x14ac:dyDescent="0.25">
      <c r="B66" s="41" t="s">
        <v>40</v>
      </c>
      <c r="C66" s="42" t="s">
        <v>70</v>
      </c>
      <c r="D66" s="43">
        <f t="shared" si="0"/>
        <v>100876</v>
      </c>
      <c r="E66" s="44" t="str">
        <f>IF($C66="","",INDEX(Summary!$J$3:$J$7,MATCH($C66,TaskListLeads,FALSE),1))</f>
        <v>Extraction &amp; Tailings</v>
      </c>
      <c r="F66" s="50">
        <v>42516</v>
      </c>
      <c r="G66" s="45">
        <f t="shared" si="1"/>
        <v>42512</v>
      </c>
      <c r="H66" s="50"/>
      <c r="I66" s="45" t="str">
        <f t="shared" si="2"/>
        <v/>
      </c>
      <c r="J66" s="41"/>
    </row>
    <row r="67" spans="2:10" ht="39.950000000000003" customHeight="1" x14ac:dyDescent="0.25">
      <c r="B67" s="41" t="s">
        <v>40</v>
      </c>
      <c r="C67" s="42" t="s">
        <v>70</v>
      </c>
      <c r="D67" s="43">
        <f t="shared" si="0"/>
        <v>100876</v>
      </c>
      <c r="E67" s="44" t="str">
        <f>IF($C67="","",INDEX(Summary!$J$3:$J$7,MATCH($C67,TaskListLeads,FALSE),1))</f>
        <v>Extraction &amp; Tailings</v>
      </c>
      <c r="F67" s="50">
        <v>42516</v>
      </c>
      <c r="G67" s="45">
        <f t="shared" si="1"/>
        <v>42512</v>
      </c>
      <c r="H67" s="50"/>
      <c r="I67" s="45" t="str">
        <f t="shared" si="2"/>
        <v/>
      </c>
      <c r="J67" s="41"/>
    </row>
    <row r="68" spans="2:10" ht="39.950000000000003" customHeight="1" x14ac:dyDescent="0.25">
      <c r="B68" s="41" t="s">
        <v>35</v>
      </c>
      <c r="C68" s="42" t="s">
        <v>70</v>
      </c>
      <c r="D68" s="43">
        <f t="shared" si="0"/>
        <v>100876</v>
      </c>
      <c r="E68" s="44" t="str">
        <f>IF($C68="","",INDEX(Summary!$J$3:$J$7,MATCH($C68,TaskListLeads,FALSE),1))</f>
        <v>Extraction &amp; Tailings</v>
      </c>
      <c r="F68" s="50">
        <v>42516</v>
      </c>
      <c r="G68" s="45">
        <f t="shared" si="1"/>
        <v>42512</v>
      </c>
      <c r="H68" s="50"/>
      <c r="I68" s="45" t="str">
        <f t="shared" si="2"/>
        <v/>
      </c>
      <c r="J68" s="41"/>
    </row>
    <row r="69" spans="2:10" ht="39.950000000000003" customHeight="1" x14ac:dyDescent="0.25">
      <c r="B69" s="41" t="s">
        <v>36</v>
      </c>
      <c r="C69" s="42" t="s">
        <v>11</v>
      </c>
      <c r="D69" s="43">
        <f t="shared" si="0"/>
        <v>100196</v>
      </c>
      <c r="E69" s="44" t="str">
        <f>IF($C69="","",INDEX(Summary!$J$3:$J$7,MATCH($C69,TaskListLeads,FALSE),1))</f>
        <v>Mine Mobile</v>
      </c>
      <c r="F69" s="50">
        <v>42516</v>
      </c>
      <c r="G69" s="45">
        <f t="shared" si="1"/>
        <v>42512</v>
      </c>
      <c r="H69" s="50"/>
      <c r="I69" s="45" t="str">
        <f t="shared" si="2"/>
        <v/>
      </c>
      <c r="J69" s="41"/>
    </row>
    <row r="70" spans="2:10" ht="39.950000000000003" customHeight="1" x14ac:dyDescent="0.25">
      <c r="B70" s="41" t="s">
        <v>27</v>
      </c>
      <c r="C70" s="42" t="s">
        <v>70</v>
      </c>
      <c r="D70" s="43">
        <f t="shared" si="0"/>
        <v>100876</v>
      </c>
      <c r="E70" s="44" t="str">
        <f>IF($C70="","",INDEX(Summary!$J$3:$J$7,MATCH($C70,TaskListLeads,FALSE),1))</f>
        <v>Extraction &amp; Tailings</v>
      </c>
      <c r="F70" s="50">
        <v>42516</v>
      </c>
      <c r="G70" s="45">
        <f t="shared" si="1"/>
        <v>42512</v>
      </c>
      <c r="H70" s="50"/>
      <c r="I70" s="45" t="str">
        <f t="shared" si="2"/>
        <v/>
      </c>
      <c r="J70" s="41"/>
    </row>
    <row r="71" spans="2:10" ht="39.950000000000003" customHeight="1" x14ac:dyDescent="0.25">
      <c r="B71" s="41" t="s">
        <v>35</v>
      </c>
      <c r="C71" s="42" t="s">
        <v>70</v>
      </c>
      <c r="D71" s="43">
        <f t="shared" si="0"/>
        <v>100876</v>
      </c>
      <c r="E71" s="44" t="str">
        <f>IF($C71="","",INDEX(Summary!$J$3:$J$7,MATCH($C71,TaskListLeads,FALSE),1))</f>
        <v>Extraction &amp; Tailings</v>
      </c>
      <c r="F71" s="50">
        <v>42516</v>
      </c>
      <c r="G71" s="45">
        <f t="shared" si="1"/>
        <v>42512</v>
      </c>
      <c r="H71" s="50"/>
      <c r="I71" s="45" t="str">
        <f t="shared" si="2"/>
        <v/>
      </c>
      <c r="J71" s="41"/>
    </row>
    <row r="72" spans="2:10" ht="39.950000000000003" customHeight="1" x14ac:dyDescent="0.25">
      <c r="B72" s="41" t="s">
        <v>40</v>
      </c>
      <c r="C72" s="42" t="s">
        <v>70</v>
      </c>
      <c r="D72" s="43">
        <f t="shared" si="0"/>
        <v>100876</v>
      </c>
      <c r="E72" s="44" t="str">
        <f>IF($C72="","",INDEX(Summary!$J$3:$J$7,MATCH($C72,TaskListLeads,FALSE),1))</f>
        <v>Extraction &amp; Tailings</v>
      </c>
      <c r="F72" s="50">
        <v>42523</v>
      </c>
      <c r="G72" s="45">
        <f t="shared" si="1"/>
        <v>42519</v>
      </c>
      <c r="H72" s="50"/>
      <c r="I72" s="45" t="str">
        <f t="shared" si="2"/>
        <v/>
      </c>
      <c r="J72" s="41"/>
    </row>
    <row r="73" spans="2:10" ht="39.950000000000003" customHeight="1" x14ac:dyDescent="0.25">
      <c r="B73" s="41" t="s">
        <v>36</v>
      </c>
      <c r="C73" s="42" t="s">
        <v>11</v>
      </c>
      <c r="D73" s="43">
        <f t="shared" si="0"/>
        <v>100196</v>
      </c>
      <c r="E73" s="44" t="str">
        <f>IF($C73="","",INDEX(Summary!$J$3:$J$7,MATCH($C73,TaskListLeads,FALSE),1))</f>
        <v>Mine Mobile</v>
      </c>
      <c r="F73" s="50">
        <v>42523</v>
      </c>
      <c r="G73" s="45">
        <f t="shared" si="1"/>
        <v>42519</v>
      </c>
      <c r="H73" s="50"/>
      <c r="I73" s="45" t="str">
        <f t="shared" si="2"/>
        <v/>
      </c>
      <c r="J73" s="41"/>
    </row>
    <row r="74" spans="2:10" ht="39.950000000000003" customHeight="1" x14ac:dyDescent="0.25">
      <c r="B74" s="41" t="s">
        <v>27</v>
      </c>
      <c r="C74" s="42" t="s">
        <v>70</v>
      </c>
      <c r="D74" s="43">
        <f t="shared" si="0"/>
        <v>100876</v>
      </c>
      <c r="E74" s="44" t="str">
        <f>IF($C74="","",INDEX(Summary!$J$3:$J$7,MATCH($C74,TaskListLeads,FALSE),1))</f>
        <v>Extraction &amp; Tailings</v>
      </c>
      <c r="F74" s="50">
        <v>42523</v>
      </c>
      <c r="G74" s="45">
        <f t="shared" si="1"/>
        <v>42519</v>
      </c>
      <c r="H74" s="50"/>
      <c r="I74" s="45" t="str">
        <f t="shared" si="2"/>
        <v/>
      </c>
      <c r="J74" s="41"/>
    </row>
    <row r="75" spans="2:10" ht="39.950000000000003" customHeight="1" x14ac:dyDescent="0.25">
      <c r="B75" s="41" t="s">
        <v>35</v>
      </c>
      <c r="C75" s="42" t="s">
        <v>70</v>
      </c>
      <c r="D75" s="43">
        <f t="shared" ref="D75:D138" si="3">IF($C75="","",INDEX(TaskListCostCentres,MATCH($C75,TaskListLeads,FALSE),1))</f>
        <v>100876</v>
      </c>
      <c r="E75" s="44" t="str">
        <f>IF($C75="","",INDEX(Summary!$J$3:$J$7,MATCH($C75,TaskListLeads,FALSE),1))</f>
        <v>Extraction &amp; Tailings</v>
      </c>
      <c r="F75" s="50">
        <v>42523</v>
      </c>
      <c r="G75" s="45">
        <f t="shared" ref="G75:G138" si="4">IF($F75="","",INDEX(ControlWeeksOf,MATCH($F75,ControlWeeksOf,TRUE),1))</f>
        <v>42519</v>
      </c>
      <c r="H75" s="50"/>
      <c r="I75" s="45" t="str">
        <f t="shared" ref="I75:I138" si="5">IF($H75="","",INDEX(ControlWeeksOf,MATCH($H75,ControlWeeksOf,TRUE),1))</f>
        <v/>
      </c>
      <c r="J75" s="41"/>
    </row>
    <row r="76" spans="2:10" ht="39.950000000000003" customHeight="1" x14ac:dyDescent="0.25">
      <c r="B76" s="41" t="s">
        <v>36</v>
      </c>
      <c r="C76" s="42" t="s">
        <v>11</v>
      </c>
      <c r="D76" s="43">
        <f t="shared" si="3"/>
        <v>100196</v>
      </c>
      <c r="E76" s="44" t="str">
        <f>IF($C76="","",INDEX(Summary!$J$3:$J$7,MATCH($C76,TaskListLeads,FALSE),1))</f>
        <v>Mine Mobile</v>
      </c>
      <c r="F76" s="50">
        <v>42523</v>
      </c>
      <c r="G76" s="45">
        <f t="shared" si="4"/>
        <v>42519</v>
      </c>
      <c r="H76" s="50"/>
      <c r="I76" s="45" t="str">
        <f t="shared" si="5"/>
        <v/>
      </c>
      <c r="J76" s="41"/>
    </row>
    <row r="77" spans="2:10" ht="39.950000000000003" customHeight="1" x14ac:dyDescent="0.25">
      <c r="B77" s="41" t="s">
        <v>39</v>
      </c>
      <c r="C77" s="42" t="s">
        <v>11</v>
      </c>
      <c r="D77" s="43">
        <f t="shared" si="3"/>
        <v>100196</v>
      </c>
      <c r="E77" s="44" t="str">
        <f>IF($C77="","",INDEX(Summary!$J$3:$J$7,MATCH($C77,TaskListLeads,FALSE),1))</f>
        <v>Mine Mobile</v>
      </c>
      <c r="F77" s="50">
        <v>42528</v>
      </c>
      <c r="G77" s="45">
        <f t="shared" si="4"/>
        <v>42526</v>
      </c>
      <c r="H77" s="50"/>
      <c r="I77" s="45" t="str">
        <f t="shared" si="5"/>
        <v/>
      </c>
      <c r="J77" s="41"/>
    </row>
    <row r="78" spans="2:10" ht="39.950000000000003" customHeight="1" x14ac:dyDescent="0.25">
      <c r="B78" s="41" t="s">
        <v>40</v>
      </c>
      <c r="C78" s="42" t="s">
        <v>70</v>
      </c>
      <c r="D78" s="43">
        <f t="shared" si="3"/>
        <v>100876</v>
      </c>
      <c r="E78" s="44" t="str">
        <f>IF($C78="","",INDEX(Summary!$J$3:$J$7,MATCH($C78,TaskListLeads,FALSE),1))</f>
        <v>Extraction &amp; Tailings</v>
      </c>
      <c r="F78" s="50">
        <v>42535</v>
      </c>
      <c r="G78" s="45">
        <f t="shared" si="4"/>
        <v>42533</v>
      </c>
      <c r="H78" s="50"/>
      <c r="I78" s="45" t="str">
        <f t="shared" si="5"/>
        <v/>
      </c>
      <c r="J78" s="41"/>
    </row>
    <row r="79" spans="2:10" ht="39.950000000000003" customHeight="1" x14ac:dyDescent="0.25">
      <c r="B79" s="41" t="s">
        <v>40</v>
      </c>
      <c r="C79" s="42" t="s">
        <v>70</v>
      </c>
      <c r="D79" s="43">
        <f t="shared" si="3"/>
        <v>100876</v>
      </c>
      <c r="E79" s="44" t="str">
        <f>IF($C79="","",INDEX(Summary!$J$3:$J$7,MATCH($C79,TaskListLeads,FALSE),1))</f>
        <v>Extraction &amp; Tailings</v>
      </c>
      <c r="F79" s="50">
        <v>42542</v>
      </c>
      <c r="G79" s="45">
        <f t="shared" si="4"/>
        <v>42540</v>
      </c>
      <c r="H79" s="50"/>
      <c r="I79" s="45" t="str">
        <f t="shared" si="5"/>
        <v/>
      </c>
      <c r="J79" s="41"/>
    </row>
    <row r="80" spans="2:10" ht="39.950000000000003" customHeight="1" x14ac:dyDescent="0.25">
      <c r="B80" s="41" t="s">
        <v>40</v>
      </c>
      <c r="C80" s="42" t="s">
        <v>70</v>
      </c>
      <c r="D80" s="43">
        <f t="shared" si="3"/>
        <v>100876</v>
      </c>
      <c r="E80" s="44" t="str">
        <f>IF($C80="","",INDEX(Summary!$J$3:$J$7,MATCH($C80,TaskListLeads,FALSE),1))</f>
        <v>Extraction &amp; Tailings</v>
      </c>
      <c r="F80" s="50">
        <v>42549</v>
      </c>
      <c r="G80" s="45">
        <f t="shared" si="4"/>
        <v>42547</v>
      </c>
      <c r="H80" s="50"/>
      <c r="I80" s="45" t="str">
        <f t="shared" si="5"/>
        <v/>
      </c>
      <c r="J80" s="41"/>
    </row>
    <row r="81" spans="2:10" ht="39.950000000000003" customHeight="1" x14ac:dyDescent="0.25">
      <c r="B81" s="41" t="s">
        <v>40</v>
      </c>
      <c r="C81" s="42" t="s">
        <v>70</v>
      </c>
      <c r="D81" s="43">
        <f t="shared" si="3"/>
        <v>100876</v>
      </c>
      <c r="E81" s="44" t="str">
        <f>IF($C81="","",INDEX(Summary!$J$3:$J$7,MATCH($C81,TaskListLeads,FALSE),1))</f>
        <v>Extraction &amp; Tailings</v>
      </c>
      <c r="F81" s="50">
        <v>42556</v>
      </c>
      <c r="G81" s="45">
        <f t="shared" si="4"/>
        <v>42554</v>
      </c>
      <c r="H81" s="50"/>
      <c r="I81" s="45" t="str">
        <f t="shared" si="5"/>
        <v/>
      </c>
      <c r="J81" s="41"/>
    </row>
    <row r="82" spans="2:10" ht="39.950000000000003" customHeight="1" x14ac:dyDescent="0.25">
      <c r="B82" s="41" t="s">
        <v>39</v>
      </c>
      <c r="C82" s="42" t="s">
        <v>11</v>
      </c>
      <c r="D82" s="43">
        <f t="shared" si="3"/>
        <v>100196</v>
      </c>
      <c r="E82" s="44" t="str">
        <f>IF($C82="","",INDEX(Summary!$J$3:$J$7,MATCH($C82,TaskListLeads,FALSE),1))</f>
        <v>Mine Mobile</v>
      </c>
      <c r="F82" s="50">
        <v>42558</v>
      </c>
      <c r="G82" s="45">
        <f t="shared" si="4"/>
        <v>42554</v>
      </c>
      <c r="H82" s="50"/>
      <c r="I82" s="45" t="str">
        <f t="shared" si="5"/>
        <v/>
      </c>
      <c r="J82" s="41"/>
    </row>
    <row r="83" spans="2:10" ht="39.950000000000003" customHeight="1" x14ac:dyDescent="0.25">
      <c r="B83" s="41" t="s">
        <v>40</v>
      </c>
      <c r="C83" s="42" t="s">
        <v>70</v>
      </c>
      <c r="D83" s="43">
        <f t="shared" si="3"/>
        <v>100876</v>
      </c>
      <c r="E83" s="44" t="str">
        <f>IF($C83="","",INDEX(Summary!$J$3:$J$7,MATCH($C83,TaskListLeads,FALSE),1))</f>
        <v>Extraction &amp; Tailings</v>
      </c>
      <c r="F83" s="50">
        <v>42565</v>
      </c>
      <c r="G83" s="45">
        <f t="shared" si="4"/>
        <v>42561</v>
      </c>
      <c r="H83" s="50"/>
      <c r="I83" s="45" t="str">
        <f t="shared" si="5"/>
        <v/>
      </c>
      <c r="J83" s="41"/>
    </row>
    <row r="84" spans="2:10" ht="39.950000000000003" customHeight="1" x14ac:dyDescent="0.25">
      <c r="B84" s="41" t="s">
        <v>40</v>
      </c>
      <c r="C84" s="42" t="s">
        <v>70</v>
      </c>
      <c r="D84" s="43">
        <f t="shared" si="3"/>
        <v>100876</v>
      </c>
      <c r="E84" s="44" t="str">
        <f>IF($C84="","",INDEX(Summary!$J$3:$J$7,MATCH($C84,TaskListLeads,FALSE),1))</f>
        <v>Extraction &amp; Tailings</v>
      </c>
      <c r="F84" s="50">
        <v>42572</v>
      </c>
      <c r="G84" s="45">
        <f t="shared" si="4"/>
        <v>42568</v>
      </c>
      <c r="H84" s="50"/>
      <c r="I84" s="45" t="str">
        <f t="shared" si="5"/>
        <v/>
      </c>
      <c r="J84" s="41"/>
    </row>
    <row r="85" spans="2:10" ht="39.950000000000003" customHeight="1" x14ac:dyDescent="0.25">
      <c r="B85" s="41" t="s">
        <v>40</v>
      </c>
      <c r="C85" s="42" t="s">
        <v>70</v>
      </c>
      <c r="D85" s="43">
        <f t="shared" si="3"/>
        <v>100876</v>
      </c>
      <c r="E85" s="44" t="str">
        <f>IF($C85="","",INDEX(Summary!$J$3:$J$7,MATCH($C85,TaskListLeads,FALSE),1))</f>
        <v>Extraction &amp; Tailings</v>
      </c>
      <c r="F85" s="50">
        <v>42579</v>
      </c>
      <c r="G85" s="45">
        <f t="shared" si="4"/>
        <v>42575</v>
      </c>
      <c r="H85" s="50"/>
      <c r="I85" s="45" t="str">
        <f t="shared" si="5"/>
        <v/>
      </c>
      <c r="J85" s="41"/>
    </row>
    <row r="86" spans="2:10" ht="39.950000000000003" customHeight="1" x14ac:dyDescent="0.25">
      <c r="B86" s="41" t="s">
        <v>40</v>
      </c>
      <c r="C86" s="42" t="s">
        <v>70</v>
      </c>
      <c r="D86" s="43">
        <f t="shared" si="3"/>
        <v>100876</v>
      </c>
      <c r="E86" s="44" t="str">
        <f>IF($C86="","",INDEX(Summary!$J$3:$J$7,MATCH($C86,TaskListLeads,FALSE),1))</f>
        <v>Extraction &amp; Tailings</v>
      </c>
      <c r="F86" s="50">
        <v>42586</v>
      </c>
      <c r="G86" s="45">
        <f t="shared" si="4"/>
        <v>42582</v>
      </c>
      <c r="H86" s="50"/>
      <c r="I86" s="45" t="str">
        <f t="shared" si="5"/>
        <v/>
      </c>
      <c r="J86" s="41"/>
    </row>
    <row r="87" spans="2:10" ht="39.950000000000003" customHeight="1" x14ac:dyDescent="0.25">
      <c r="B87" s="41" t="s">
        <v>39</v>
      </c>
      <c r="C87" s="42" t="s">
        <v>11</v>
      </c>
      <c r="D87" s="43">
        <f t="shared" si="3"/>
        <v>100196</v>
      </c>
      <c r="E87" s="44" t="str">
        <f>IF($C87="","",INDEX(Summary!$J$3:$J$7,MATCH($C87,TaskListLeads,FALSE),1))</f>
        <v>Mine Mobile</v>
      </c>
      <c r="F87" s="50">
        <v>42590</v>
      </c>
      <c r="G87" s="45">
        <f t="shared" si="4"/>
        <v>42589</v>
      </c>
      <c r="H87" s="50"/>
      <c r="I87" s="45" t="str">
        <f t="shared" si="5"/>
        <v/>
      </c>
      <c r="J87" s="41"/>
    </row>
    <row r="88" spans="2:10" ht="39.950000000000003" customHeight="1" x14ac:dyDescent="0.25">
      <c r="B88" s="41" t="s">
        <v>40</v>
      </c>
      <c r="C88" s="42" t="s">
        <v>70</v>
      </c>
      <c r="D88" s="43">
        <f t="shared" si="3"/>
        <v>100876</v>
      </c>
      <c r="E88" s="44" t="str">
        <f>IF($C88="","",INDEX(Summary!$J$3:$J$7,MATCH($C88,TaskListLeads,FALSE),1))</f>
        <v>Extraction &amp; Tailings</v>
      </c>
      <c r="F88" s="50">
        <v>42593</v>
      </c>
      <c r="G88" s="45">
        <f t="shared" si="4"/>
        <v>42589</v>
      </c>
      <c r="H88" s="50"/>
      <c r="I88" s="45" t="str">
        <f t="shared" si="5"/>
        <v/>
      </c>
      <c r="J88" s="41"/>
    </row>
    <row r="89" spans="2:10" ht="39.950000000000003" customHeight="1" x14ac:dyDescent="0.25">
      <c r="B89" s="41" t="s">
        <v>40</v>
      </c>
      <c r="C89" s="42" t="s">
        <v>70</v>
      </c>
      <c r="D89" s="43">
        <f t="shared" si="3"/>
        <v>100876</v>
      </c>
      <c r="E89" s="44" t="str">
        <f>IF($C89="","",INDEX(Summary!$J$3:$J$7,MATCH($C89,TaskListLeads,FALSE),1))</f>
        <v>Extraction &amp; Tailings</v>
      </c>
      <c r="F89" s="50">
        <v>42597</v>
      </c>
      <c r="G89" s="45">
        <f t="shared" si="4"/>
        <v>42596</v>
      </c>
      <c r="H89" s="50"/>
      <c r="I89" s="45" t="str">
        <f t="shared" si="5"/>
        <v/>
      </c>
      <c r="J89" s="41"/>
    </row>
    <row r="90" spans="2:10" ht="39.950000000000003" customHeight="1" x14ac:dyDescent="0.25">
      <c r="B90" s="41" t="s">
        <v>40</v>
      </c>
      <c r="C90" s="42" t="s">
        <v>70</v>
      </c>
      <c r="D90" s="43">
        <f t="shared" si="3"/>
        <v>100876</v>
      </c>
      <c r="E90" s="44" t="str">
        <f>IF($C90="","",INDEX(Summary!$J$3:$J$7,MATCH($C90,TaskListLeads,FALSE),1))</f>
        <v>Extraction &amp; Tailings</v>
      </c>
      <c r="F90" s="50">
        <v>42604</v>
      </c>
      <c r="G90" s="45">
        <f t="shared" si="4"/>
        <v>42603</v>
      </c>
      <c r="H90" s="50"/>
      <c r="I90" s="45" t="str">
        <f t="shared" si="5"/>
        <v/>
      </c>
      <c r="J90" s="41"/>
    </row>
    <row r="91" spans="2:10" ht="39.950000000000003" customHeight="1" x14ac:dyDescent="0.25">
      <c r="B91" s="41" t="s">
        <v>40</v>
      </c>
      <c r="C91" s="42" t="s">
        <v>70</v>
      </c>
      <c r="D91" s="43">
        <f t="shared" si="3"/>
        <v>100876</v>
      </c>
      <c r="E91" s="44" t="str">
        <f>IF($C91="","",INDEX(Summary!$J$3:$J$7,MATCH($C91,TaskListLeads,FALSE),1))</f>
        <v>Extraction &amp; Tailings</v>
      </c>
      <c r="F91" s="50">
        <v>42611</v>
      </c>
      <c r="G91" s="45">
        <f t="shared" si="4"/>
        <v>42610</v>
      </c>
      <c r="H91" s="50"/>
      <c r="I91" s="45" t="str">
        <f t="shared" si="5"/>
        <v/>
      </c>
      <c r="J91" s="41"/>
    </row>
    <row r="92" spans="2:10" ht="39.950000000000003" customHeight="1" x14ac:dyDescent="0.25">
      <c r="B92" s="41" t="s">
        <v>40</v>
      </c>
      <c r="C92" s="42" t="s">
        <v>70</v>
      </c>
      <c r="D92" s="43">
        <f t="shared" si="3"/>
        <v>100876</v>
      </c>
      <c r="E92" s="44" t="str">
        <f>IF($C92="","",INDEX(Summary!$J$3:$J$7,MATCH($C92,TaskListLeads,FALSE),1))</f>
        <v>Extraction &amp; Tailings</v>
      </c>
      <c r="F92" s="50">
        <v>42618</v>
      </c>
      <c r="G92" s="45">
        <f t="shared" si="4"/>
        <v>42617</v>
      </c>
      <c r="H92" s="50"/>
      <c r="I92" s="45" t="str">
        <f t="shared" si="5"/>
        <v/>
      </c>
      <c r="J92" s="41"/>
    </row>
    <row r="93" spans="2:10" ht="39.950000000000003" customHeight="1" x14ac:dyDescent="0.25">
      <c r="B93" s="41" t="s">
        <v>39</v>
      </c>
      <c r="C93" s="42" t="s">
        <v>11</v>
      </c>
      <c r="D93" s="43">
        <f t="shared" si="3"/>
        <v>100196</v>
      </c>
      <c r="E93" s="44" t="str">
        <f>IF($C93="","",INDEX(Summary!$J$3:$J$7,MATCH($C93,TaskListLeads,FALSE),1))</f>
        <v>Mine Mobile</v>
      </c>
      <c r="F93" s="50">
        <v>42621</v>
      </c>
      <c r="G93" s="45">
        <f t="shared" si="4"/>
        <v>42617</v>
      </c>
      <c r="H93" s="50"/>
      <c r="I93" s="45" t="str">
        <f t="shared" si="5"/>
        <v/>
      </c>
      <c r="J93" s="41"/>
    </row>
    <row r="94" spans="2:10" ht="39.950000000000003" customHeight="1" x14ac:dyDescent="0.25">
      <c r="B94" s="41" t="s">
        <v>40</v>
      </c>
      <c r="C94" s="42" t="s">
        <v>70</v>
      </c>
      <c r="D94" s="43">
        <f t="shared" si="3"/>
        <v>100876</v>
      </c>
      <c r="E94" s="44" t="str">
        <f>IF($C94="","",INDEX(Summary!$J$3:$J$7,MATCH($C94,TaskListLeads,FALSE),1))</f>
        <v>Extraction &amp; Tailings</v>
      </c>
      <c r="F94" s="50">
        <v>42628</v>
      </c>
      <c r="G94" s="45">
        <f t="shared" si="4"/>
        <v>42624</v>
      </c>
      <c r="H94" s="50"/>
      <c r="I94" s="45" t="str">
        <f t="shared" si="5"/>
        <v/>
      </c>
      <c r="J94" s="41"/>
    </row>
    <row r="95" spans="2:10" ht="39.950000000000003" customHeight="1" x14ac:dyDescent="0.25">
      <c r="B95" s="41" t="s">
        <v>40</v>
      </c>
      <c r="C95" s="42" t="s">
        <v>70</v>
      </c>
      <c r="D95" s="43">
        <f t="shared" si="3"/>
        <v>100876</v>
      </c>
      <c r="E95" s="44" t="str">
        <f>IF($C95="","",INDEX(Summary!$J$3:$J$7,MATCH($C95,TaskListLeads,FALSE),1))</f>
        <v>Extraction &amp; Tailings</v>
      </c>
      <c r="F95" s="50">
        <v>42635</v>
      </c>
      <c r="G95" s="45">
        <f t="shared" si="4"/>
        <v>42631</v>
      </c>
      <c r="H95" s="50"/>
      <c r="I95" s="45" t="str">
        <f t="shared" si="5"/>
        <v/>
      </c>
      <c r="J95" s="41"/>
    </row>
    <row r="96" spans="2:10" ht="39.950000000000003" customHeight="1" x14ac:dyDescent="0.25">
      <c r="B96" s="41" t="s">
        <v>40</v>
      </c>
      <c r="C96" s="42" t="s">
        <v>70</v>
      </c>
      <c r="D96" s="43">
        <f t="shared" si="3"/>
        <v>100876</v>
      </c>
      <c r="E96" s="44" t="str">
        <f>IF($C96="","",INDEX(Summary!$J$3:$J$7,MATCH($C96,TaskListLeads,FALSE),1))</f>
        <v>Extraction &amp; Tailings</v>
      </c>
      <c r="F96" s="50">
        <v>42642</v>
      </c>
      <c r="G96" s="45">
        <f t="shared" si="4"/>
        <v>42638</v>
      </c>
      <c r="H96" s="50"/>
      <c r="I96" s="45" t="str">
        <f t="shared" si="5"/>
        <v/>
      </c>
      <c r="J96" s="41"/>
    </row>
    <row r="97" spans="2:10" ht="39.950000000000003" customHeight="1" x14ac:dyDescent="0.25">
      <c r="B97" s="41" t="s">
        <v>40</v>
      </c>
      <c r="C97" s="42" t="s">
        <v>70</v>
      </c>
      <c r="D97" s="43">
        <f t="shared" si="3"/>
        <v>100876</v>
      </c>
      <c r="E97" s="44" t="str">
        <f>IF($C97="","",INDEX(Summary!$J$3:$J$7,MATCH($C97,TaskListLeads,FALSE),1))</f>
        <v>Extraction &amp; Tailings</v>
      </c>
      <c r="F97" s="50">
        <v>42649</v>
      </c>
      <c r="G97" s="45">
        <f t="shared" si="4"/>
        <v>42645</v>
      </c>
      <c r="H97" s="50"/>
      <c r="I97" s="45" t="str">
        <f t="shared" si="5"/>
        <v/>
      </c>
      <c r="J97" s="41"/>
    </row>
    <row r="98" spans="2:10" ht="39.950000000000003" customHeight="1" x14ac:dyDescent="0.25">
      <c r="B98" s="41" t="s">
        <v>39</v>
      </c>
      <c r="C98" s="42" t="s">
        <v>11</v>
      </c>
      <c r="D98" s="43">
        <f t="shared" si="3"/>
        <v>100196</v>
      </c>
      <c r="E98" s="44" t="str">
        <f>IF($C98="","",INDEX(Summary!$J$3:$J$7,MATCH($C98,TaskListLeads,FALSE),1))</f>
        <v>Mine Mobile</v>
      </c>
      <c r="F98" s="50">
        <v>42650</v>
      </c>
      <c r="G98" s="45">
        <f t="shared" si="4"/>
        <v>42645</v>
      </c>
      <c r="H98" s="50"/>
      <c r="I98" s="45" t="str">
        <f t="shared" si="5"/>
        <v/>
      </c>
      <c r="J98" s="41"/>
    </row>
    <row r="99" spans="2:10" ht="39.950000000000003" customHeight="1" x14ac:dyDescent="0.25">
      <c r="B99" s="41" t="s">
        <v>40</v>
      </c>
      <c r="C99" s="42" t="s">
        <v>70</v>
      </c>
      <c r="D99" s="43">
        <f t="shared" si="3"/>
        <v>100876</v>
      </c>
      <c r="E99" s="44" t="str">
        <f>IF($C99="","",INDEX(Summary!$J$3:$J$7,MATCH($C99,TaskListLeads,FALSE),1))</f>
        <v>Extraction &amp; Tailings</v>
      </c>
      <c r="F99" s="50">
        <v>42656</v>
      </c>
      <c r="G99" s="45">
        <f t="shared" si="4"/>
        <v>42652</v>
      </c>
      <c r="H99" s="50"/>
      <c r="I99" s="45" t="str">
        <f t="shared" si="5"/>
        <v/>
      </c>
      <c r="J99" s="41"/>
    </row>
    <row r="100" spans="2:10" ht="39.950000000000003" customHeight="1" x14ac:dyDescent="0.25">
      <c r="B100" s="41" t="s">
        <v>40</v>
      </c>
      <c r="C100" s="42" t="s">
        <v>70</v>
      </c>
      <c r="D100" s="43">
        <f t="shared" si="3"/>
        <v>100876</v>
      </c>
      <c r="E100" s="44" t="str">
        <f>IF($C100="","",INDEX(Summary!$J$3:$J$7,MATCH($C100,TaskListLeads,FALSE),1))</f>
        <v>Extraction &amp; Tailings</v>
      </c>
      <c r="F100" s="50">
        <v>42657</v>
      </c>
      <c r="G100" s="45">
        <f t="shared" si="4"/>
        <v>42652</v>
      </c>
      <c r="H100" s="50"/>
      <c r="I100" s="45" t="str">
        <f t="shared" si="5"/>
        <v/>
      </c>
      <c r="J100" s="41"/>
    </row>
    <row r="101" spans="2:10" ht="39.950000000000003" customHeight="1" x14ac:dyDescent="0.25">
      <c r="B101" s="41" t="s">
        <v>40</v>
      </c>
      <c r="C101" s="42" t="s">
        <v>70</v>
      </c>
      <c r="D101" s="43">
        <f t="shared" si="3"/>
        <v>100876</v>
      </c>
      <c r="E101" s="44" t="str">
        <f>IF($C101="","",INDEX(Summary!$J$3:$J$7,MATCH($C101,TaskListLeads,FALSE),1))</f>
        <v>Extraction &amp; Tailings</v>
      </c>
      <c r="F101" s="50">
        <v>42664</v>
      </c>
      <c r="G101" s="45">
        <f t="shared" si="4"/>
        <v>42659</v>
      </c>
      <c r="H101" s="50"/>
      <c r="I101" s="45" t="str">
        <f t="shared" si="5"/>
        <v/>
      </c>
      <c r="J101" s="41"/>
    </row>
    <row r="102" spans="2:10" ht="39.950000000000003" customHeight="1" x14ac:dyDescent="0.25">
      <c r="B102" s="41" t="s">
        <v>40</v>
      </c>
      <c r="C102" s="42" t="s">
        <v>70</v>
      </c>
      <c r="D102" s="43">
        <f t="shared" si="3"/>
        <v>100876</v>
      </c>
      <c r="E102" s="44" t="str">
        <f>IF($C102="","",INDEX(Summary!$J$3:$J$7,MATCH($C102,TaskListLeads,FALSE),1))</f>
        <v>Extraction &amp; Tailings</v>
      </c>
      <c r="F102" s="50">
        <v>42671</v>
      </c>
      <c r="G102" s="45">
        <f t="shared" si="4"/>
        <v>42666</v>
      </c>
      <c r="H102" s="50"/>
      <c r="I102" s="45" t="str">
        <f t="shared" si="5"/>
        <v/>
      </c>
      <c r="J102" s="41"/>
    </row>
    <row r="103" spans="2:10" ht="39.950000000000003" customHeight="1" x14ac:dyDescent="0.25">
      <c r="B103" s="41" t="s">
        <v>40</v>
      </c>
      <c r="C103" s="42" t="s">
        <v>70</v>
      </c>
      <c r="D103" s="43">
        <f t="shared" si="3"/>
        <v>100876</v>
      </c>
      <c r="E103" s="44" t="str">
        <f>IF($C103="","",INDEX(Summary!$J$3:$J$7,MATCH($C103,TaskListLeads,FALSE),1))</f>
        <v>Extraction &amp; Tailings</v>
      </c>
      <c r="F103" s="50">
        <v>42678</v>
      </c>
      <c r="G103" s="45">
        <f t="shared" si="4"/>
        <v>42673</v>
      </c>
      <c r="H103" s="50"/>
      <c r="I103" s="45" t="str">
        <f t="shared" si="5"/>
        <v/>
      </c>
      <c r="J103" s="41"/>
    </row>
    <row r="104" spans="2:10" ht="39.950000000000003" customHeight="1" x14ac:dyDescent="0.25">
      <c r="B104" s="41" t="s">
        <v>39</v>
      </c>
      <c r="C104" s="42" t="s">
        <v>11</v>
      </c>
      <c r="D104" s="43">
        <f t="shared" si="3"/>
        <v>100196</v>
      </c>
      <c r="E104" s="44" t="str">
        <f>IF($C104="","",INDEX(Summary!$J$3:$J$7,MATCH($C104,TaskListLeads,FALSE),1))</f>
        <v>Mine Mobile</v>
      </c>
      <c r="F104" s="50">
        <v>42681</v>
      </c>
      <c r="G104" s="45">
        <f t="shared" si="4"/>
        <v>42680</v>
      </c>
      <c r="H104" s="50"/>
      <c r="I104" s="45" t="str">
        <f t="shared" si="5"/>
        <v/>
      </c>
      <c r="J104" s="41"/>
    </row>
    <row r="105" spans="2:10" ht="39.950000000000003" customHeight="1" x14ac:dyDescent="0.25">
      <c r="B105" s="41" t="s">
        <v>40</v>
      </c>
      <c r="C105" s="42" t="s">
        <v>70</v>
      </c>
      <c r="D105" s="43">
        <f t="shared" si="3"/>
        <v>100876</v>
      </c>
      <c r="E105" s="44" t="str">
        <f>IF($C105="","",INDEX(Summary!$J$3:$J$7,MATCH($C105,TaskListLeads,FALSE),1))</f>
        <v>Extraction &amp; Tailings</v>
      </c>
      <c r="F105" s="50">
        <v>42688</v>
      </c>
      <c r="G105" s="45">
        <f t="shared" si="4"/>
        <v>42687</v>
      </c>
      <c r="H105" s="50"/>
      <c r="I105" s="45" t="str">
        <f t="shared" si="5"/>
        <v/>
      </c>
      <c r="J105" s="41"/>
    </row>
    <row r="106" spans="2:10" ht="39.950000000000003" customHeight="1" x14ac:dyDescent="0.25">
      <c r="B106" s="41" t="s">
        <v>40</v>
      </c>
      <c r="C106" s="42" t="s">
        <v>70</v>
      </c>
      <c r="D106" s="43">
        <f t="shared" si="3"/>
        <v>100876</v>
      </c>
      <c r="E106" s="44" t="str">
        <f>IF($C106="","",INDEX(Summary!$J$3:$J$7,MATCH($C106,TaskListLeads,FALSE),1))</f>
        <v>Extraction &amp; Tailings</v>
      </c>
      <c r="F106" s="50">
        <v>42695</v>
      </c>
      <c r="G106" s="45">
        <f t="shared" si="4"/>
        <v>42694</v>
      </c>
      <c r="H106" s="50"/>
      <c r="I106" s="45" t="str">
        <f t="shared" si="5"/>
        <v/>
      </c>
      <c r="J106" s="41"/>
    </row>
    <row r="107" spans="2:10" ht="39.950000000000003" customHeight="1" x14ac:dyDescent="0.25">
      <c r="B107" s="41" t="s">
        <v>40</v>
      </c>
      <c r="C107" s="42" t="s">
        <v>70</v>
      </c>
      <c r="D107" s="43">
        <f t="shared" si="3"/>
        <v>100876</v>
      </c>
      <c r="E107" s="44" t="str">
        <f>IF($C107="","",INDEX(Summary!$J$3:$J$7,MATCH($C107,TaskListLeads,FALSE),1))</f>
        <v>Extraction &amp; Tailings</v>
      </c>
      <c r="F107" s="50">
        <v>42702</v>
      </c>
      <c r="G107" s="45">
        <f t="shared" si="4"/>
        <v>42701</v>
      </c>
      <c r="H107" s="50"/>
      <c r="I107" s="45" t="str">
        <f t="shared" si="5"/>
        <v/>
      </c>
      <c r="J107" s="41"/>
    </row>
    <row r="108" spans="2:10" ht="39.950000000000003" customHeight="1" x14ac:dyDescent="0.25">
      <c r="B108" s="41" t="s">
        <v>40</v>
      </c>
      <c r="C108" s="42" t="s">
        <v>70</v>
      </c>
      <c r="D108" s="43">
        <f t="shared" si="3"/>
        <v>100876</v>
      </c>
      <c r="E108" s="44" t="str">
        <f>IF($C108="","",INDEX(Summary!$J$3:$J$7,MATCH($C108,TaskListLeads,FALSE),1))</f>
        <v>Extraction &amp; Tailings</v>
      </c>
      <c r="F108" s="50">
        <v>42709</v>
      </c>
      <c r="G108" s="45">
        <f t="shared" si="4"/>
        <v>42708</v>
      </c>
      <c r="H108" s="50"/>
      <c r="I108" s="45" t="str">
        <f t="shared" si="5"/>
        <v/>
      </c>
      <c r="J108" s="41"/>
    </row>
    <row r="109" spans="2:10" ht="39.950000000000003" customHeight="1" x14ac:dyDescent="0.25">
      <c r="B109" s="41" t="s">
        <v>39</v>
      </c>
      <c r="C109" s="42" t="s">
        <v>11</v>
      </c>
      <c r="D109" s="43">
        <f t="shared" si="3"/>
        <v>100196</v>
      </c>
      <c r="E109" s="44" t="str">
        <f>IF($C109="","",INDEX(Summary!$J$3:$J$7,MATCH($C109,TaskListLeads,FALSE),1))</f>
        <v>Mine Mobile</v>
      </c>
      <c r="F109" s="50">
        <v>42711</v>
      </c>
      <c r="G109" s="45">
        <f t="shared" si="4"/>
        <v>42708</v>
      </c>
      <c r="H109" s="50"/>
      <c r="I109" s="45" t="str">
        <f t="shared" si="5"/>
        <v/>
      </c>
      <c r="J109" s="41"/>
    </row>
    <row r="110" spans="2:10" ht="39.950000000000003" customHeight="1" x14ac:dyDescent="0.25">
      <c r="B110" s="41" t="s">
        <v>40</v>
      </c>
      <c r="C110" s="42" t="s">
        <v>70</v>
      </c>
      <c r="D110" s="43">
        <f t="shared" si="3"/>
        <v>100876</v>
      </c>
      <c r="E110" s="44" t="str">
        <f>IF($C110="","",INDEX(Summary!$J$3:$J$7,MATCH($C110,TaskListLeads,FALSE),1))</f>
        <v>Extraction &amp; Tailings</v>
      </c>
      <c r="F110" s="50">
        <v>42718</v>
      </c>
      <c r="G110" s="45">
        <f t="shared" si="4"/>
        <v>42715</v>
      </c>
      <c r="H110" s="50"/>
      <c r="I110" s="45" t="str">
        <f t="shared" si="5"/>
        <v/>
      </c>
      <c r="J110" s="41"/>
    </row>
    <row r="111" spans="2:10" ht="39.950000000000003" customHeight="1" x14ac:dyDescent="0.25">
      <c r="B111" s="41" t="s">
        <v>40</v>
      </c>
      <c r="C111" s="42" t="s">
        <v>70</v>
      </c>
      <c r="D111" s="43">
        <f t="shared" si="3"/>
        <v>100876</v>
      </c>
      <c r="E111" s="44" t="str">
        <f>IF($C111="","",INDEX(Summary!$J$3:$J$7,MATCH($C111,TaskListLeads,FALSE),1))</f>
        <v>Extraction &amp; Tailings</v>
      </c>
      <c r="F111" s="50">
        <v>42725</v>
      </c>
      <c r="G111" s="45">
        <f t="shared" si="4"/>
        <v>42722</v>
      </c>
      <c r="H111" s="50"/>
      <c r="I111" s="45" t="str">
        <f t="shared" si="5"/>
        <v/>
      </c>
      <c r="J111" s="41"/>
    </row>
    <row r="112" spans="2:10" ht="39.950000000000003" customHeight="1" x14ac:dyDescent="0.25">
      <c r="B112" s="41" t="s">
        <v>40</v>
      </c>
      <c r="C112" s="42" t="s">
        <v>70</v>
      </c>
      <c r="D112" s="43">
        <f t="shared" si="3"/>
        <v>100876</v>
      </c>
      <c r="E112" s="44" t="str">
        <f>IF($C112="","",INDEX(Summary!$J$3:$J$7,MATCH($C112,TaskListLeads,FALSE),1))</f>
        <v>Extraction &amp; Tailings</v>
      </c>
      <c r="F112" s="50">
        <v>42732</v>
      </c>
      <c r="G112" s="45">
        <f t="shared" si="4"/>
        <v>42729</v>
      </c>
      <c r="H112" s="50"/>
      <c r="I112" s="45" t="str">
        <f t="shared" si="5"/>
        <v/>
      </c>
      <c r="J112" s="41"/>
    </row>
    <row r="113" spans="2:10" ht="39.950000000000003" customHeight="1" x14ac:dyDescent="0.25">
      <c r="B113" s="41" t="s">
        <v>76</v>
      </c>
      <c r="C113" s="42" t="s">
        <v>16</v>
      </c>
      <c r="D113" s="43">
        <f t="shared" si="3"/>
        <v>100520</v>
      </c>
      <c r="E113" s="44" t="str">
        <f>IF($C113="","",INDEX(Summary!$J$3:$J$7,MATCH($C113,TaskListLeads,FALSE),1))</f>
        <v>Extraction &amp; Tailings</v>
      </c>
      <c r="F113" s="50">
        <v>42492</v>
      </c>
      <c r="G113" s="45">
        <f t="shared" si="4"/>
        <v>42491</v>
      </c>
      <c r="H113" s="50">
        <v>42492</v>
      </c>
      <c r="I113" s="45">
        <f t="shared" si="5"/>
        <v>42491</v>
      </c>
      <c r="J113" s="41" t="s">
        <v>78</v>
      </c>
    </row>
    <row r="114" spans="2:10" ht="39.950000000000003" customHeight="1" x14ac:dyDescent="0.25">
      <c r="B114" s="41" t="s">
        <v>58</v>
      </c>
      <c r="C114" s="42" t="s">
        <v>70</v>
      </c>
      <c r="D114" s="43">
        <f t="shared" si="3"/>
        <v>100876</v>
      </c>
      <c r="E114" s="44" t="str">
        <f>IF($C114="","",INDEX(Summary!$J$3:$J$7,MATCH($C114,TaskListLeads,FALSE),1))</f>
        <v>Extraction &amp; Tailings</v>
      </c>
      <c r="F114" s="50"/>
      <c r="G114" s="45" t="str">
        <f t="shared" si="4"/>
        <v/>
      </c>
      <c r="H114" s="50"/>
      <c r="I114" s="45" t="str">
        <f t="shared" si="5"/>
        <v/>
      </c>
      <c r="J114" s="41"/>
    </row>
    <row r="115" spans="2:10" ht="39.950000000000003" customHeight="1" x14ac:dyDescent="0.25">
      <c r="B115" s="41" t="s">
        <v>59</v>
      </c>
      <c r="C115" s="42" t="s">
        <v>70</v>
      </c>
      <c r="D115" s="43">
        <f t="shared" si="3"/>
        <v>100876</v>
      </c>
      <c r="E115" s="44" t="str">
        <f>IF($C115="","",INDEX(Summary!$J$3:$J$7,MATCH($C115,TaskListLeads,FALSE),1))</f>
        <v>Extraction &amp; Tailings</v>
      </c>
      <c r="F115" s="50"/>
      <c r="G115" s="45" t="str">
        <f t="shared" si="4"/>
        <v/>
      </c>
      <c r="H115" s="50"/>
      <c r="I115" s="45" t="str">
        <f t="shared" si="5"/>
        <v/>
      </c>
      <c r="J115" s="41"/>
    </row>
    <row r="116" spans="2:10" ht="39.950000000000003" customHeight="1" x14ac:dyDescent="0.25">
      <c r="B116" s="41" t="s">
        <v>60</v>
      </c>
      <c r="C116" s="42" t="s">
        <v>70</v>
      </c>
      <c r="D116" s="43">
        <f t="shared" si="3"/>
        <v>100876</v>
      </c>
      <c r="E116" s="44" t="str">
        <f>IF($C116="","",INDEX(Summary!$J$3:$J$7,MATCH($C116,TaskListLeads,FALSE),1))</f>
        <v>Extraction &amp; Tailings</v>
      </c>
      <c r="F116" s="50"/>
      <c r="G116" s="45" t="str">
        <f t="shared" si="4"/>
        <v/>
      </c>
      <c r="H116" s="50"/>
      <c r="I116" s="45" t="str">
        <f t="shared" si="5"/>
        <v/>
      </c>
      <c r="J116" s="41"/>
    </row>
    <row r="117" spans="2:10" ht="39.950000000000003" customHeight="1" x14ac:dyDescent="0.25">
      <c r="B117" s="41" t="s">
        <v>61</v>
      </c>
      <c r="C117" s="42" t="s">
        <v>70</v>
      </c>
      <c r="D117" s="43">
        <f t="shared" si="3"/>
        <v>100876</v>
      </c>
      <c r="E117" s="44" t="str">
        <f>IF($C117="","",INDEX(Summary!$J$3:$J$7,MATCH($C117,TaskListLeads,FALSE),1))</f>
        <v>Extraction &amp; Tailings</v>
      </c>
      <c r="F117" s="50"/>
      <c r="G117" s="45" t="str">
        <f t="shared" si="4"/>
        <v/>
      </c>
      <c r="H117" s="50"/>
      <c r="I117" s="45" t="str">
        <f t="shared" si="5"/>
        <v/>
      </c>
      <c r="J117" s="41"/>
    </row>
    <row r="118" spans="2:10" ht="39.950000000000003" customHeight="1" x14ac:dyDescent="0.25">
      <c r="B118" s="41" t="s">
        <v>62</v>
      </c>
      <c r="C118" s="42" t="s">
        <v>70</v>
      </c>
      <c r="D118" s="43">
        <f t="shared" si="3"/>
        <v>100876</v>
      </c>
      <c r="E118" s="44" t="str">
        <f>IF($C118="","",INDEX(Summary!$J$3:$J$7,MATCH($C118,TaskListLeads,FALSE),1))</f>
        <v>Extraction &amp; Tailings</v>
      </c>
      <c r="F118" s="50"/>
      <c r="G118" s="45" t="str">
        <f t="shared" si="4"/>
        <v/>
      </c>
      <c r="H118" s="50"/>
      <c r="I118" s="45" t="str">
        <f t="shared" si="5"/>
        <v/>
      </c>
      <c r="J118" s="41"/>
    </row>
    <row r="119" spans="2:10" ht="39.950000000000003" customHeight="1" x14ac:dyDescent="0.25">
      <c r="B119" s="41" t="s">
        <v>63</v>
      </c>
      <c r="C119" s="42" t="s">
        <v>70</v>
      </c>
      <c r="D119" s="43">
        <f t="shared" si="3"/>
        <v>100876</v>
      </c>
      <c r="E119" s="44" t="str">
        <f>IF($C119="","",INDEX(Summary!$J$3:$J$7,MATCH($C119,TaskListLeads,FALSE),1))</f>
        <v>Extraction &amp; Tailings</v>
      </c>
      <c r="F119" s="50"/>
      <c r="G119" s="45" t="str">
        <f t="shared" si="4"/>
        <v/>
      </c>
      <c r="H119" s="50"/>
      <c r="I119" s="45" t="str">
        <f t="shared" si="5"/>
        <v/>
      </c>
      <c r="J119" s="41"/>
    </row>
    <row r="120" spans="2:10" ht="39.950000000000003" customHeight="1" x14ac:dyDescent="0.25">
      <c r="B120" s="41" t="s">
        <v>64</v>
      </c>
      <c r="C120" s="42" t="s">
        <v>70</v>
      </c>
      <c r="D120" s="43">
        <f t="shared" si="3"/>
        <v>100876</v>
      </c>
      <c r="E120" s="44" t="str">
        <f>IF($C120="","",INDEX(Summary!$J$3:$J$7,MATCH($C120,TaskListLeads,FALSE),1))</f>
        <v>Extraction &amp; Tailings</v>
      </c>
      <c r="F120" s="50"/>
      <c r="G120" s="45" t="str">
        <f t="shared" si="4"/>
        <v/>
      </c>
      <c r="H120" s="50"/>
      <c r="I120" s="45" t="str">
        <f t="shared" si="5"/>
        <v/>
      </c>
      <c r="J120" s="41"/>
    </row>
    <row r="121" spans="2:10" ht="39.950000000000003" customHeight="1" x14ac:dyDescent="0.25">
      <c r="B121" s="41" t="s">
        <v>74</v>
      </c>
      <c r="C121" s="42" t="s">
        <v>11</v>
      </c>
      <c r="D121" s="43">
        <f t="shared" si="3"/>
        <v>100196</v>
      </c>
      <c r="E121" s="44" t="str">
        <f>IF($C121="","",INDEX(Summary!$J$3:$J$7,MATCH($C121,TaskListLeads,FALSE),1))</f>
        <v>Mine Mobile</v>
      </c>
      <c r="F121" s="50"/>
      <c r="G121" s="45" t="str">
        <f t="shared" si="4"/>
        <v/>
      </c>
      <c r="H121" s="50">
        <v>42486</v>
      </c>
      <c r="I121" s="45">
        <f t="shared" si="5"/>
        <v>42484</v>
      </c>
      <c r="J121" s="41" t="s">
        <v>75</v>
      </c>
    </row>
    <row r="122" spans="2:10" ht="39.950000000000003" customHeight="1" x14ac:dyDescent="0.25">
      <c r="B122" s="41" t="s">
        <v>83</v>
      </c>
      <c r="C122" s="42" t="s">
        <v>11</v>
      </c>
      <c r="D122" s="43">
        <f t="shared" si="3"/>
        <v>100196</v>
      </c>
      <c r="E122" s="44" t="str">
        <f>IF($C122="","",INDEX(Summary!$J$3:$J$7,MATCH($C122,TaskListLeads,FALSE),1))</f>
        <v>Mine Mobile</v>
      </c>
      <c r="F122" s="50">
        <v>42555</v>
      </c>
      <c r="G122" s="45">
        <f t="shared" si="4"/>
        <v>42554</v>
      </c>
      <c r="H122" s="50"/>
      <c r="I122" s="45" t="str">
        <f t="shared" si="5"/>
        <v/>
      </c>
      <c r="J122" s="41" t="s">
        <v>84</v>
      </c>
    </row>
    <row r="123" spans="2:10" ht="39.950000000000003" customHeight="1" x14ac:dyDescent="0.25">
      <c r="B123" s="41"/>
      <c r="C123" s="42"/>
      <c r="D123" s="43" t="str">
        <f t="shared" si="3"/>
        <v/>
      </c>
      <c r="E123" s="44" t="str">
        <f>IF($C123="","",INDEX(Summary!$J$3:$J$7,MATCH($C123,TaskListLeads,FALSE),1))</f>
        <v/>
      </c>
      <c r="F123" s="50"/>
      <c r="G123" s="45" t="str">
        <f t="shared" si="4"/>
        <v/>
      </c>
      <c r="H123" s="50"/>
      <c r="I123" s="45" t="str">
        <f t="shared" si="5"/>
        <v/>
      </c>
      <c r="J123" s="41"/>
    </row>
    <row r="124" spans="2:10" ht="39.950000000000003" customHeight="1" x14ac:dyDescent="0.25">
      <c r="B124" s="41"/>
      <c r="C124" s="42"/>
      <c r="D124" s="43" t="str">
        <f t="shared" si="3"/>
        <v/>
      </c>
      <c r="E124" s="44" t="str">
        <f>IF($C124="","",INDEX(Summary!$J$3:$J$7,MATCH($C124,TaskListLeads,FALSE),1))</f>
        <v/>
      </c>
      <c r="F124" s="50"/>
      <c r="G124" s="45" t="str">
        <f t="shared" si="4"/>
        <v/>
      </c>
      <c r="H124" s="50"/>
      <c r="I124" s="45" t="str">
        <f t="shared" si="5"/>
        <v/>
      </c>
      <c r="J124" s="41"/>
    </row>
    <row r="125" spans="2:10" ht="39.950000000000003" customHeight="1" x14ac:dyDescent="0.25">
      <c r="B125" s="41"/>
      <c r="C125" s="42"/>
      <c r="D125" s="43" t="str">
        <f t="shared" si="3"/>
        <v/>
      </c>
      <c r="E125" s="44" t="str">
        <f>IF($C125="","",INDEX(Summary!$J$3:$J$7,MATCH($C125,TaskListLeads,FALSE),1))</f>
        <v/>
      </c>
      <c r="F125" s="50"/>
      <c r="G125" s="45" t="str">
        <f t="shared" si="4"/>
        <v/>
      </c>
      <c r="H125" s="50"/>
      <c r="I125" s="45" t="str">
        <f t="shared" si="5"/>
        <v/>
      </c>
      <c r="J125" s="41"/>
    </row>
    <row r="126" spans="2:10" ht="39.950000000000003" customHeight="1" x14ac:dyDescent="0.25">
      <c r="B126" s="41"/>
      <c r="C126" s="42"/>
      <c r="D126" s="43" t="str">
        <f t="shared" si="3"/>
        <v/>
      </c>
      <c r="E126" s="44" t="str">
        <f>IF($C126="","",INDEX(Summary!$J$3:$J$7,MATCH($C126,TaskListLeads,FALSE),1))</f>
        <v/>
      </c>
      <c r="F126" s="50"/>
      <c r="G126" s="45" t="str">
        <f t="shared" si="4"/>
        <v/>
      </c>
      <c r="H126" s="50"/>
      <c r="I126" s="45" t="str">
        <f t="shared" si="5"/>
        <v/>
      </c>
      <c r="J126" s="41"/>
    </row>
    <row r="127" spans="2:10" ht="39.950000000000003" customHeight="1" x14ac:dyDescent="0.25">
      <c r="B127" s="41"/>
      <c r="C127" s="42"/>
      <c r="D127" s="43" t="str">
        <f t="shared" si="3"/>
        <v/>
      </c>
      <c r="E127" s="44" t="str">
        <f>IF($C127="","",INDEX(Summary!$J$3:$J$7,MATCH($C127,TaskListLeads,FALSE),1))</f>
        <v/>
      </c>
      <c r="F127" s="50"/>
      <c r="G127" s="45" t="str">
        <f t="shared" si="4"/>
        <v/>
      </c>
      <c r="H127" s="50"/>
      <c r="I127" s="45" t="str">
        <f t="shared" si="5"/>
        <v/>
      </c>
      <c r="J127" s="41"/>
    </row>
    <row r="128" spans="2:10" ht="39.950000000000003" customHeight="1" x14ac:dyDescent="0.25">
      <c r="B128" s="41"/>
      <c r="C128" s="42"/>
      <c r="D128" s="43" t="str">
        <f t="shared" si="3"/>
        <v/>
      </c>
      <c r="E128" s="44" t="str">
        <f>IF($C128="","",INDEX(Summary!$J$3:$J$7,MATCH($C128,TaskListLeads,FALSE),1))</f>
        <v/>
      </c>
      <c r="F128" s="50"/>
      <c r="G128" s="45" t="str">
        <f t="shared" si="4"/>
        <v/>
      </c>
      <c r="H128" s="50"/>
      <c r="I128" s="45" t="str">
        <f t="shared" si="5"/>
        <v/>
      </c>
      <c r="J128" s="41"/>
    </row>
    <row r="129" spans="2:10" ht="39.950000000000003" customHeight="1" x14ac:dyDescent="0.25">
      <c r="B129" s="41"/>
      <c r="C129" s="42"/>
      <c r="D129" s="43" t="str">
        <f t="shared" si="3"/>
        <v/>
      </c>
      <c r="E129" s="44" t="str">
        <f>IF($C129="","",INDEX(Summary!$J$3:$J$7,MATCH($C129,TaskListLeads,FALSE),1))</f>
        <v/>
      </c>
      <c r="F129" s="50"/>
      <c r="G129" s="45" t="str">
        <f t="shared" si="4"/>
        <v/>
      </c>
      <c r="H129" s="50"/>
      <c r="I129" s="45" t="str">
        <f t="shared" si="5"/>
        <v/>
      </c>
      <c r="J129" s="41"/>
    </row>
    <row r="130" spans="2:10" ht="39.950000000000003" customHeight="1" x14ac:dyDescent="0.25">
      <c r="B130" s="41"/>
      <c r="C130" s="42"/>
      <c r="D130" s="43" t="str">
        <f t="shared" si="3"/>
        <v/>
      </c>
      <c r="E130" s="44" t="str">
        <f>IF($C130="","",INDEX(Summary!$J$3:$J$7,MATCH($C130,TaskListLeads,FALSE),1))</f>
        <v/>
      </c>
      <c r="F130" s="50"/>
      <c r="G130" s="45" t="str">
        <f t="shared" si="4"/>
        <v/>
      </c>
      <c r="H130" s="50"/>
      <c r="I130" s="45" t="str">
        <f t="shared" si="5"/>
        <v/>
      </c>
      <c r="J130" s="41"/>
    </row>
    <row r="131" spans="2:10" ht="39.950000000000003" customHeight="1" x14ac:dyDescent="0.25">
      <c r="B131" s="41"/>
      <c r="C131" s="42"/>
      <c r="D131" s="43" t="str">
        <f t="shared" si="3"/>
        <v/>
      </c>
      <c r="E131" s="44" t="str">
        <f>IF($C131="","",INDEX(Summary!$J$3:$J$7,MATCH($C131,TaskListLeads,FALSE),1))</f>
        <v/>
      </c>
      <c r="F131" s="50"/>
      <c r="G131" s="45" t="str">
        <f t="shared" si="4"/>
        <v/>
      </c>
      <c r="H131" s="50"/>
      <c r="I131" s="45" t="str">
        <f t="shared" si="5"/>
        <v/>
      </c>
      <c r="J131" s="41"/>
    </row>
    <row r="132" spans="2:10" ht="39.950000000000003" customHeight="1" x14ac:dyDescent="0.25">
      <c r="B132" s="41"/>
      <c r="C132" s="42"/>
      <c r="D132" s="43" t="str">
        <f t="shared" si="3"/>
        <v/>
      </c>
      <c r="E132" s="44" t="str">
        <f>IF($C132="","",INDEX(Summary!$J$3:$J$7,MATCH($C132,TaskListLeads,FALSE),1))</f>
        <v/>
      </c>
      <c r="F132" s="50"/>
      <c r="G132" s="45" t="str">
        <f t="shared" si="4"/>
        <v/>
      </c>
      <c r="H132" s="50"/>
      <c r="I132" s="45" t="str">
        <f t="shared" si="5"/>
        <v/>
      </c>
      <c r="J132" s="41"/>
    </row>
    <row r="133" spans="2:10" ht="39.950000000000003" customHeight="1" x14ac:dyDescent="0.25">
      <c r="B133" s="41"/>
      <c r="C133" s="42"/>
      <c r="D133" s="43" t="str">
        <f t="shared" si="3"/>
        <v/>
      </c>
      <c r="E133" s="44" t="str">
        <f>IF($C133="","",INDEX(Summary!$J$3:$J$7,MATCH($C133,TaskListLeads,FALSE),1))</f>
        <v/>
      </c>
      <c r="F133" s="50"/>
      <c r="G133" s="45" t="str">
        <f t="shared" si="4"/>
        <v/>
      </c>
      <c r="H133" s="50"/>
      <c r="I133" s="45" t="str">
        <f t="shared" si="5"/>
        <v/>
      </c>
      <c r="J133" s="41"/>
    </row>
    <row r="134" spans="2:10" ht="39.950000000000003" customHeight="1" x14ac:dyDescent="0.25">
      <c r="B134" s="41"/>
      <c r="C134" s="42"/>
      <c r="D134" s="43" t="str">
        <f t="shared" si="3"/>
        <v/>
      </c>
      <c r="E134" s="44" t="str">
        <f>IF($C134="","",INDEX(Summary!$J$3:$J$7,MATCH($C134,TaskListLeads,FALSE),1))</f>
        <v/>
      </c>
      <c r="F134" s="50"/>
      <c r="G134" s="45" t="str">
        <f t="shared" si="4"/>
        <v/>
      </c>
      <c r="H134" s="50"/>
      <c r="I134" s="45" t="str">
        <f t="shared" si="5"/>
        <v/>
      </c>
      <c r="J134" s="41"/>
    </row>
    <row r="135" spans="2:10" ht="39.950000000000003" customHeight="1" x14ac:dyDescent="0.25">
      <c r="B135" s="41"/>
      <c r="C135" s="42"/>
      <c r="D135" s="43" t="str">
        <f t="shared" si="3"/>
        <v/>
      </c>
      <c r="E135" s="44" t="str">
        <f>IF($C135="","",INDEX(Summary!$J$3:$J$7,MATCH($C135,TaskListLeads,FALSE),1))</f>
        <v/>
      </c>
      <c r="F135" s="50"/>
      <c r="G135" s="45" t="str">
        <f t="shared" si="4"/>
        <v/>
      </c>
      <c r="H135" s="50"/>
      <c r="I135" s="45" t="str">
        <f t="shared" si="5"/>
        <v/>
      </c>
      <c r="J135" s="41"/>
    </row>
    <row r="136" spans="2:10" ht="39.950000000000003" customHeight="1" x14ac:dyDescent="0.25">
      <c r="B136" s="41"/>
      <c r="C136" s="42"/>
      <c r="D136" s="43" t="str">
        <f t="shared" si="3"/>
        <v/>
      </c>
      <c r="E136" s="44" t="str">
        <f>IF($C136="","",INDEX(Summary!$J$3:$J$7,MATCH($C136,TaskListLeads,FALSE),1))</f>
        <v/>
      </c>
      <c r="F136" s="50"/>
      <c r="G136" s="45" t="str">
        <f t="shared" si="4"/>
        <v/>
      </c>
      <c r="H136" s="50"/>
      <c r="I136" s="45" t="str">
        <f t="shared" si="5"/>
        <v/>
      </c>
      <c r="J136" s="41"/>
    </row>
    <row r="137" spans="2:10" ht="39.950000000000003" customHeight="1" x14ac:dyDescent="0.25">
      <c r="B137" s="41"/>
      <c r="C137" s="42"/>
      <c r="D137" s="43" t="str">
        <f t="shared" si="3"/>
        <v/>
      </c>
      <c r="E137" s="44" t="str">
        <f>IF($C137="","",INDEX(Summary!$J$3:$J$7,MATCH($C137,TaskListLeads,FALSE),1))</f>
        <v/>
      </c>
      <c r="F137" s="50"/>
      <c r="G137" s="45" t="str">
        <f t="shared" si="4"/>
        <v/>
      </c>
      <c r="H137" s="50"/>
      <c r="I137" s="45" t="str">
        <f t="shared" si="5"/>
        <v/>
      </c>
      <c r="J137" s="41"/>
    </row>
    <row r="138" spans="2:10" ht="39.950000000000003" customHeight="1" x14ac:dyDescent="0.25">
      <c r="B138" s="41"/>
      <c r="C138" s="42"/>
      <c r="D138" s="43" t="str">
        <f t="shared" si="3"/>
        <v/>
      </c>
      <c r="E138" s="44" t="str">
        <f>IF($C138="","",INDEX(Summary!$J$3:$J$7,MATCH($C138,TaskListLeads,FALSE),1))</f>
        <v/>
      </c>
      <c r="F138" s="50"/>
      <c r="G138" s="45" t="str">
        <f t="shared" si="4"/>
        <v/>
      </c>
      <c r="H138" s="50"/>
      <c r="I138" s="45" t="str">
        <f t="shared" si="5"/>
        <v/>
      </c>
      <c r="J138" s="41"/>
    </row>
    <row r="139" spans="2:10" ht="39.950000000000003" customHeight="1" x14ac:dyDescent="0.25">
      <c r="B139" s="41"/>
      <c r="C139" s="42"/>
      <c r="D139" s="43" t="str">
        <f t="shared" ref="D139:D202" si="6">IF($C139="","",INDEX(TaskListCostCentres,MATCH($C139,TaskListLeads,FALSE),1))</f>
        <v/>
      </c>
      <c r="E139" s="44" t="str">
        <f>IF($C139="","",INDEX(Summary!$J$3:$J$7,MATCH($C139,TaskListLeads,FALSE),1))</f>
        <v/>
      </c>
      <c r="F139" s="50"/>
      <c r="G139" s="45" t="str">
        <f t="shared" ref="G139:G202" si="7">IF($F139="","",INDEX(ControlWeeksOf,MATCH($F139,ControlWeeksOf,TRUE),1))</f>
        <v/>
      </c>
      <c r="H139" s="50"/>
      <c r="I139" s="45" t="str">
        <f t="shared" ref="I139:I202" si="8">IF($H139="","",INDEX(ControlWeeksOf,MATCH($H139,ControlWeeksOf,TRUE),1))</f>
        <v/>
      </c>
      <c r="J139" s="41"/>
    </row>
    <row r="140" spans="2:10" ht="39.950000000000003" customHeight="1" x14ac:dyDescent="0.25">
      <c r="B140" s="41"/>
      <c r="C140" s="42"/>
      <c r="D140" s="43" t="str">
        <f t="shared" si="6"/>
        <v/>
      </c>
      <c r="E140" s="44" t="str">
        <f>IF($C140="","",INDEX(Summary!$J$3:$J$7,MATCH($C140,TaskListLeads,FALSE),1))</f>
        <v/>
      </c>
      <c r="F140" s="50"/>
      <c r="G140" s="45" t="str">
        <f t="shared" si="7"/>
        <v/>
      </c>
      <c r="H140" s="50"/>
      <c r="I140" s="45" t="str">
        <f t="shared" si="8"/>
        <v/>
      </c>
      <c r="J140" s="41"/>
    </row>
    <row r="141" spans="2:10" ht="39.950000000000003" customHeight="1" x14ac:dyDescent="0.25">
      <c r="B141" s="41"/>
      <c r="C141" s="42"/>
      <c r="D141" s="43" t="str">
        <f t="shared" si="6"/>
        <v/>
      </c>
      <c r="E141" s="44" t="str">
        <f>IF($C141="","",INDEX(Summary!$J$3:$J$7,MATCH($C141,TaskListLeads,FALSE),1))</f>
        <v/>
      </c>
      <c r="F141" s="50"/>
      <c r="G141" s="45" t="str">
        <f t="shared" si="7"/>
        <v/>
      </c>
      <c r="H141" s="50"/>
      <c r="I141" s="45" t="str">
        <f t="shared" si="8"/>
        <v/>
      </c>
      <c r="J141" s="41"/>
    </row>
    <row r="142" spans="2:10" ht="39.950000000000003" customHeight="1" x14ac:dyDescent="0.25">
      <c r="B142" s="41"/>
      <c r="C142" s="42"/>
      <c r="D142" s="43" t="str">
        <f t="shared" si="6"/>
        <v/>
      </c>
      <c r="E142" s="44" t="str">
        <f>IF($C142="","",INDEX(Summary!$J$3:$J$7,MATCH($C142,TaskListLeads,FALSE),1))</f>
        <v/>
      </c>
      <c r="F142" s="50"/>
      <c r="G142" s="45" t="str">
        <f t="shared" si="7"/>
        <v/>
      </c>
      <c r="H142" s="50"/>
      <c r="I142" s="45" t="str">
        <f t="shared" si="8"/>
        <v/>
      </c>
      <c r="J142" s="41"/>
    </row>
    <row r="143" spans="2:10" ht="39.950000000000003" customHeight="1" x14ac:dyDescent="0.25">
      <c r="B143" s="41"/>
      <c r="C143" s="42"/>
      <c r="D143" s="43" t="str">
        <f t="shared" si="6"/>
        <v/>
      </c>
      <c r="E143" s="44" t="str">
        <f>IF($C143="","",INDEX(Summary!$J$3:$J$7,MATCH($C143,TaskListLeads,FALSE),1))</f>
        <v/>
      </c>
      <c r="F143" s="50"/>
      <c r="G143" s="45" t="str">
        <f t="shared" si="7"/>
        <v/>
      </c>
      <c r="H143" s="50"/>
      <c r="I143" s="45" t="str">
        <f t="shared" si="8"/>
        <v/>
      </c>
      <c r="J143" s="41"/>
    </row>
    <row r="144" spans="2:10" ht="39.950000000000003" customHeight="1" x14ac:dyDescent="0.25">
      <c r="B144" s="41"/>
      <c r="C144" s="42"/>
      <c r="D144" s="43" t="str">
        <f t="shared" si="6"/>
        <v/>
      </c>
      <c r="E144" s="44" t="str">
        <f>IF($C144="","",INDEX(Summary!$J$3:$J$7,MATCH($C144,TaskListLeads,FALSE),1))</f>
        <v/>
      </c>
      <c r="F144" s="50"/>
      <c r="G144" s="45" t="str">
        <f t="shared" si="7"/>
        <v/>
      </c>
      <c r="H144" s="50"/>
      <c r="I144" s="45" t="str">
        <f t="shared" si="8"/>
        <v/>
      </c>
      <c r="J144" s="41"/>
    </row>
    <row r="145" spans="2:10" ht="39.950000000000003" customHeight="1" x14ac:dyDescent="0.25">
      <c r="B145" s="41"/>
      <c r="C145" s="42"/>
      <c r="D145" s="43" t="str">
        <f t="shared" si="6"/>
        <v/>
      </c>
      <c r="E145" s="44" t="str">
        <f>IF($C145="","",INDEX(Summary!$J$3:$J$7,MATCH($C145,TaskListLeads,FALSE),1))</f>
        <v/>
      </c>
      <c r="F145" s="50"/>
      <c r="G145" s="45" t="str">
        <f t="shared" si="7"/>
        <v/>
      </c>
      <c r="H145" s="50"/>
      <c r="I145" s="45" t="str">
        <f t="shared" si="8"/>
        <v/>
      </c>
      <c r="J145" s="41"/>
    </row>
    <row r="146" spans="2:10" ht="39.950000000000003" customHeight="1" x14ac:dyDescent="0.25">
      <c r="B146" s="41"/>
      <c r="C146" s="42"/>
      <c r="D146" s="43" t="str">
        <f t="shared" si="6"/>
        <v/>
      </c>
      <c r="E146" s="44" t="str">
        <f>IF($C146="","",INDEX(Summary!$J$3:$J$7,MATCH($C146,TaskListLeads,FALSE),1))</f>
        <v/>
      </c>
      <c r="F146" s="50"/>
      <c r="G146" s="45" t="str">
        <f t="shared" si="7"/>
        <v/>
      </c>
      <c r="H146" s="50"/>
      <c r="I146" s="45" t="str">
        <f t="shared" si="8"/>
        <v/>
      </c>
      <c r="J146" s="41"/>
    </row>
    <row r="147" spans="2:10" ht="39.950000000000003" customHeight="1" x14ac:dyDescent="0.25">
      <c r="B147" s="41"/>
      <c r="C147" s="42"/>
      <c r="D147" s="43" t="str">
        <f t="shared" si="6"/>
        <v/>
      </c>
      <c r="E147" s="44" t="str">
        <f>IF($C147="","",INDEX(Summary!$J$3:$J$7,MATCH($C147,TaskListLeads,FALSE),1))</f>
        <v/>
      </c>
      <c r="F147" s="50"/>
      <c r="G147" s="45" t="str">
        <f t="shared" si="7"/>
        <v/>
      </c>
      <c r="H147" s="50"/>
      <c r="I147" s="45" t="str">
        <f t="shared" si="8"/>
        <v/>
      </c>
      <c r="J147" s="41"/>
    </row>
    <row r="148" spans="2:10" ht="39.950000000000003" customHeight="1" x14ac:dyDescent="0.25">
      <c r="B148" s="41"/>
      <c r="C148" s="42"/>
      <c r="D148" s="43" t="str">
        <f t="shared" si="6"/>
        <v/>
      </c>
      <c r="E148" s="44" t="str">
        <f>IF($C148="","",INDEX(Summary!$J$3:$J$7,MATCH($C148,TaskListLeads,FALSE),1))</f>
        <v/>
      </c>
      <c r="F148" s="50"/>
      <c r="G148" s="45" t="str">
        <f t="shared" si="7"/>
        <v/>
      </c>
      <c r="H148" s="50"/>
      <c r="I148" s="45" t="str">
        <f t="shared" si="8"/>
        <v/>
      </c>
      <c r="J148" s="41"/>
    </row>
    <row r="149" spans="2:10" ht="39.950000000000003" customHeight="1" x14ac:dyDescent="0.25">
      <c r="B149" s="41"/>
      <c r="C149" s="42"/>
      <c r="D149" s="43" t="str">
        <f t="shared" si="6"/>
        <v/>
      </c>
      <c r="E149" s="44" t="str">
        <f>IF($C149="","",INDEX(Summary!$J$3:$J$7,MATCH($C149,TaskListLeads,FALSE),1))</f>
        <v/>
      </c>
      <c r="F149" s="50"/>
      <c r="G149" s="45" t="str">
        <f t="shared" si="7"/>
        <v/>
      </c>
      <c r="H149" s="50"/>
      <c r="I149" s="45" t="str">
        <f t="shared" si="8"/>
        <v/>
      </c>
      <c r="J149" s="41"/>
    </row>
    <row r="150" spans="2:10" ht="39.950000000000003" customHeight="1" x14ac:dyDescent="0.25">
      <c r="B150" s="41"/>
      <c r="C150" s="42"/>
      <c r="D150" s="43" t="str">
        <f t="shared" si="6"/>
        <v/>
      </c>
      <c r="E150" s="44" t="str">
        <f>IF($C150="","",INDEX(Summary!$J$3:$J$7,MATCH($C150,TaskListLeads,FALSE),1))</f>
        <v/>
      </c>
      <c r="F150" s="50"/>
      <c r="G150" s="45" t="str">
        <f t="shared" si="7"/>
        <v/>
      </c>
      <c r="H150" s="50"/>
      <c r="I150" s="45" t="str">
        <f t="shared" si="8"/>
        <v/>
      </c>
      <c r="J150" s="41"/>
    </row>
    <row r="151" spans="2:10" ht="39.950000000000003" customHeight="1" x14ac:dyDescent="0.25">
      <c r="B151" s="41"/>
      <c r="C151" s="42"/>
      <c r="D151" s="43" t="str">
        <f t="shared" si="6"/>
        <v/>
      </c>
      <c r="E151" s="44" t="str">
        <f>IF($C151="","",INDEX(Summary!$J$3:$J$7,MATCH($C151,TaskListLeads,FALSE),1))</f>
        <v/>
      </c>
      <c r="F151" s="50"/>
      <c r="G151" s="45" t="str">
        <f t="shared" si="7"/>
        <v/>
      </c>
      <c r="H151" s="50"/>
      <c r="I151" s="45" t="str">
        <f t="shared" si="8"/>
        <v/>
      </c>
      <c r="J151" s="41"/>
    </row>
    <row r="152" spans="2:10" ht="39.950000000000003" customHeight="1" x14ac:dyDescent="0.25">
      <c r="B152" s="41"/>
      <c r="C152" s="42"/>
      <c r="D152" s="43" t="str">
        <f t="shared" si="6"/>
        <v/>
      </c>
      <c r="E152" s="44" t="str">
        <f>IF($C152="","",INDEX(Summary!$J$3:$J$7,MATCH($C152,TaskListLeads,FALSE),1))</f>
        <v/>
      </c>
      <c r="F152" s="50"/>
      <c r="G152" s="45" t="str">
        <f t="shared" si="7"/>
        <v/>
      </c>
      <c r="H152" s="50"/>
      <c r="I152" s="45" t="str">
        <f t="shared" si="8"/>
        <v/>
      </c>
      <c r="J152" s="41"/>
    </row>
    <row r="153" spans="2:10" ht="39.950000000000003" customHeight="1" x14ac:dyDescent="0.25">
      <c r="B153" s="41"/>
      <c r="C153" s="42"/>
      <c r="D153" s="43" t="str">
        <f t="shared" si="6"/>
        <v/>
      </c>
      <c r="E153" s="44" t="str">
        <f>IF($C153="","",INDEX(Summary!$J$3:$J$7,MATCH($C153,TaskListLeads,FALSE),1))</f>
        <v/>
      </c>
      <c r="F153" s="50"/>
      <c r="G153" s="45" t="str">
        <f t="shared" si="7"/>
        <v/>
      </c>
      <c r="H153" s="50"/>
      <c r="I153" s="45" t="str">
        <f t="shared" si="8"/>
        <v/>
      </c>
      <c r="J153" s="41"/>
    </row>
    <row r="154" spans="2:10" ht="39.950000000000003" customHeight="1" x14ac:dyDescent="0.25">
      <c r="B154" s="41"/>
      <c r="C154" s="42"/>
      <c r="D154" s="43" t="str">
        <f t="shared" si="6"/>
        <v/>
      </c>
      <c r="E154" s="44" t="str">
        <f>IF($C154="","",INDEX(Summary!$J$3:$J$7,MATCH($C154,TaskListLeads,FALSE),1))</f>
        <v/>
      </c>
      <c r="F154" s="50"/>
      <c r="G154" s="45" t="str">
        <f t="shared" si="7"/>
        <v/>
      </c>
      <c r="H154" s="50"/>
      <c r="I154" s="45" t="str">
        <f t="shared" si="8"/>
        <v/>
      </c>
      <c r="J154" s="41"/>
    </row>
    <row r="155" spans="2:10" ht="39.950000000000003" customHeight="1" x14ac:dyDescent="0.25">
      <c r="B155" s="41"/>
      <c r="C155" s="42"/>
      <c r="D155" s="43" t="str">
        <f t="shared" si="6"/>
        <v/>
      </c>
      <c r="E155" s="44" t="str">
        <f>IF($C155="","",INDEX(Summary!$J$3:$J$7,MATCH($C155,TaskListLeads,FALSE),1))</f>
        <v/>
      </c>
      <c r="F155" s="50"/>
      <c r="G155" s="45" t="str">
        <f t="shared" si="7"/>
        <v/>
      </c>
      <c r="H155" s="50"/>
      <c r="I155" s="45" t="str">
        <f t="shared" si="8"/>
        <v/>
      </c>
      <c r="J155" s="41"/>
    </row>
    <row r="156" spans="2:10" ht="39.950000000000003" customHeight="1" x14ac:dyDescent="0.25">
      <c r="B156" s="41"/>
      <c r="C156" s="42"/>
      <c r="D156" s="43" t="str">
        <f t="shared" si="6"/>
        <v/>
      </c>
      <c r="E156" s="44" t="str">
        <f>IF($C156="","",INDEX(Summary!$J$3:$J$7,MATCH($C156,TaskListLeads,FALSE),1))</f>
        <v/>
      </c>
      <c r="F156" s="50"/>
      <c r="G156" s="45" t="str">
        <f t="shared" si="7"/>
        <v/>
      </c>
      <c r="H156" s="50"/>
      <c r="I156" s="45" t="str">
        <f t="shared" si="8"/>
        <v/>
      </c>
      <c r="J156" s="41"/>
    </row>
    <row r="157" spans="2:10" ht="39.950000000000003" customHeight="1" x14ac:dyDescent="0.25">
      <c r="B157" s="41"/>
      <c r="C157" s="42"/>
      <c r="D157" s="43" t="str">
        <f t="shared" si="6"/>
        <v/>
      </c>
      <c r="E157" s="44" t="str">
        <f>IF($C157="","",INDEX(Summary!$J$3:$J$7,MATCH($C157,TaskListLeads,FALSE),1))</f>
        <v/>
      </c>
      <c r="F157" s="50"/>
      <c r="G157" s="45" t="str">
        <f t="shared" si="7"/>
        <v/>
      </c>
      <c r="H157" s="50"/>
      <c r="I157" s="45" t="str">
        <f t="shared" si="8"/>
        <v/>
      </c>
      <c r="J157" s="41"/>
    </row>
    <row r="158" spans="2:10" ht="39.950000000000003" customHeight="1" x14ac:dyDescent="0.25">
      <c r="B158" s="41"/>
      <c r="C158" s="42"/>
      <c r="D158" s="43" t="str">
        <f t="shared" si="6"/>
        <v/>
      </c>
      <c r="E158" s="44" t="str">
        <f>IF($C158="","",INDEX(Summary!$J$3:$J$7,MATCH($C158,TaskListLeads,FALSE),1))</f>
        <v/>
      </c>
      <c r="F158" s="50"/>
      <c r="G158" s="45" t="str">
        <f t="shared" si="7"/>
        <v/>
      </c>
      <c r="H158" s="50"/>
      <c r="I158" s="45" t="str">
        <f t="shared" si="8"/>
        <v/>
      </c>
      <c r="J158" s="41"/>
    </row>
    <row r="159" spans="2:10" ht="39.950000000000003" customHeight="1" x14ac:dyDescent="0.25">
      <c r="B159" s="41"/>
      <c r="C159" s="42"/>
      <c r="D159" s="43" t="str">
        <f t="shared" si="6"/>
        <v/>
      </c>
      <c r="E159" s="44" t="str">
        <f>IF($C159="","",INDEX(Summary!$J$3:$J$7,MATCH($C159,TaskListLeads,FALSE),1))</f>
        <v/>
      </c>
      <c r="F159" s="50"/>
      <c r="G159" s="45" t="str">
        <f t="shared" si="7"/>
        <v/>
      </c>
      <c r="H159" s="50"/>
      <c r="I159" s="45" t="str">
        <f t="shared" si="8"/>
        <v/>
      </c>
      <c r="J159" s="41"/>
    </row>
    <row r="160" spans="2:10" ht="39.950000000000003" customHeight="1" x14ac:dyDescent="0.25">
      <c r="B160" s="41"/>
      <c r="C160" s="42"/>
      <c r="D160" s="43" t="str">
        <f t="shared" si="6"/>
        <v/>
      </c>
      <c r="E160" s="44" t="str">
        <f>IF($C160="","",INDEX(Summary!$J$3:$J$7,MATCH($C160,TaskListLeads,FALSE),1))</f>
        <v/>
      </c>
      <c r="F160" s="50"/>
      <c r="G160" s="45" t="str">
        <f t="shared" si="7"/>
        <v/>
      </c>
      <c r="H160" s="50"/>
      <c r="I160" s="45" t="str">
        <f t="shared" si="8"/>
        <v/>
      </c>
      <c r="J160" s="41"/>
    </row>
    <row r="161" spans="2:10" ht="39.950000000000003" customHeight="1" x14ac:dyDescent="0.25">
      <c r="B161" s="41"/>
      <c r="C161" s="42"/>
      <c r="D161" s="43" t="str">
        <f t="shared" si="6"/>
        <v/>
      </c>
      <c r="E161" s="44" t="str">
        <f>IF($C161="","",INDEX(Summary!$J$3:$J$7,MATCH($C161,TaskListLeads,FALSE),1))</f>
        <v/>
      </c>
      <c r="F161" s="50"/>
      <c r="G161" s="45" t="str">
        <f t="shared" si="7"/>
        <v/>
      </c>
      <c r="H161" s="50"/>
      <c r="I161" s="45" t="str">
        <f t="shared" si="8"/>
        <v/>
      </c>
      <c r="J161" s="41"/>
    </row>
    <row r="162" spans="2:10" ht="39.950000000000003" customHeight="1" x14ac:dyDescent="0.25">
      <c r="B162" s="41"/>
      <c r="C162" s="42"/>
      <c r="D162" s="43" t="str">
        <f t="shared" si="6"/>
        <v/>
      </c>
      <c r="E162" s="44" t="str">
        <f>IF($C162="","",INDEX(Summary!$J$3:$J$7,MATCH($C162,TaskListLeads,FALSE),1))</f>
        <v/>
      </c>
      <c r="F162" s="50"/>
      <c r="G162" s="45" t="str">
        <f t="shared" si="7"/>
        <v/>
      </c>
      <c r="H162" s="50"/>
      <c r="I162" s="45" t="str">
        <f t="shared" si="8"/>
        <v/>
      </c>
      <c r="J162" s="41"/>
    </row>
    <row r="163" spans="2:10" ht="39.950000000000003" customHeight="1" x14ac:dyDescent="0.25">
      <c r="B163" s="41"/>
      <c r="C163" s="42"/>
      <c r="D163" s="43" t="str">
        <f t="shared" si="6"/>
        <v/>
      </c>
      <c r="E163" s="44" t="str">
        <f>IF($C163="","",INDEX(Summary!$J$3:$J$7,MATCH($C163,TaskListLeads,FALSE),1))</f>
        <v/>
      </c>
      <c r="F163" s="50"/>
      <c r="G163" s="45" t="str">
        <f t="shared" si="7"/>
        <v/>
      </c>
      <c r="H163" s="50"/>
      <c r="I163" s="45" t="str">
        <f t="shared" si="8"/>
        <v/>
      </c>
      <c r="J163" s="41"/>
    </row>
    <row r="164" spans="2:10" ht="39.950000000000003" customHeight="1" x14ac:dyDescent="0.25">
      <c r="B164" s="41"/>
      <c r="C164" s="42"/>
      <c r="D164" s="43" t="str">
        <f t="shared" si="6"/>
        <v/>
      </c>
      <c r="E164" s="44" t="str">
        <f>IF($C164="","",INDEX(Summary!$J$3:$J$7,MATCH($C164,TaskListLeads,FALSE),1))</f>
        <v/>
      </c>
      <c r="F164" s="50"/>
      <c r="G164" s="45" t="str">
        <f t="shared" si="7"/>
        <v/>
      </c>
      <c r="H164" s="50"/>
      <c r="I164" s="45" t="str">
        <f t="shared" si="8"/>
        <v/>
      </c>
      <c r="J164" s="41"/>
    </row>
    <row r="165" spans="2:10" ht="39.950000000000003" customHeight="1" x14ac:dyDescent="0.25">
      <c r="B165" s="41"/>
      <c r="C165" s="42"/>
      <c r="D165" s="43" t="str">
        <f t="shared" si="6"/>
        <v/>
      </c>
      <c r="E165" s="44" t="str">
        <f>IF($C165="","",INDEX(Summary!$J$3:$J$7,MATCH($C165,TaskListLeads,FALSE),1))</f>
        <v/>
      </c>
      <c r="F165" s="50"/>
      <c r="G165" s="45" t="str">
        <f t="shared" si="7"/>
        <v/>
      </c>
      <c r="H165" s="50"/>
      <c r="I165" s="45" t="str">
        <f t="shared" si="8"/>
        <v/>
      </c>
      <c r="J165" s="41"/>
    </row>
    <row r="166" spans="2:10" ht="39.950000000000003" customHeight="1" x14ac:dyDescent="0.25">
      <c r="B166" s="41"/>
      <c r="C166" s="42"/>
      <c r="D166" s="43" t="str">
        <f t="shared" si="6"/>
        <v/>
      </c>
      <c r="E166" s="44" t="str">
        <f>IF($C166="","",INDEX(Summary!$J$3:$J$7,MATCH($C166,TaskListLeads,FALSE),1))</f>
        <v/>
      </c>
      <c r="F166" s="50"/>
      <c r="G166" s="45" t="str">
        <f t="shared" si="7"/>
        <v/>
      </c>
      <c r="H166" s="50"/>
      <c r="I166" s="45" t="str">
        <f t="shared" si="8"/>
        <v/>
      </c>
      <c r="J166" s="41"/>
    </row>
    <row r="167" spans="2:10" ht="39.950000000000003" customHeight="1" x14ac:dyDescent="0.25">
      <c r="B167" s="41"/>
      <c r="C167" s="42"/>
      <c r="D167" s="43" t="str">
        <f t="shared" si="6"/>
        <v/>
      </c>
      <c r="E167" s="44" t="str">
        <f>IF($C167="","",INDEX(Summary!$J$3:$J$7,MATCH($C167,TaskListLeads,FALSE),1))</f>
        <v/>
      </c>
      <c r="F167" s="50"/>
      <c r="G167" s="45" t="str">
        <f t="shared" si="7"/>
        <v/>
      </c>
      <c r="H167" s="50"/>
      <c r="I167" s="45" t="str">
        <f t="shared" si="8"/>
        <v/>
      </c>
      <c r="J167" s="41"/>
    </row>
    <row r="168" spans="2:10" ht="39.950000000000003" customHeight="1" x14ac:dyDescent="0.25">
      <c r="B168" s="41"/>
      <c r="C168" s="42"/>
      <c r="D168" s="43" t="str">
        <f t="shared" si="6"/>
        <v/>
      </c>
      <c r="E168" s="44" t="str">
        <f>IF($C168="","",INDEX(Summary!$J$3:$J$7,MATCH($C168,TaskListLeads,FALSE),1))</f>
        <v/>
      </c>
      <c r="F168" s="50"/>
      <c r="G168" s="45" t="str">
        <f t="shared" si="7"/>
        <v/>
      </c>
      <c r="H168" s="50"/>
      <c r="I168" s="45" t="str">
        <f t="shared" si="8"/>
        <v/>
      </c>
      <c r="J168" s="41"/>
    </row>
    <row r="169" spans="2:10" ht="39.950000000000003" customHeight="1" x14ac:dyDescent="0.25">
      <c r="B169" s="41"/>
      <c r="C169" s="42"/>
      <c r="D169" s="43" t="str">
        <f t="shared" si="6"/>
        <v/>
      </c>
      <c r="E169" s="44" t="str">
        <f>IF($C169="","",INDEX(Summary!$J$3:$J$7,MATCH($C169,TaskListLeads,FALSE),1))</f>
        <v/>
      </c>
      <c r="F169" s="50"/>
      <c r="G169" s="45" t="str">
        <f t="shared" si="7"/>
        <v/>
      </c>
      <c r="H169" s="50"/>
      <c r="I169" s="45" t="str">
        <f t="shared" si="8"/>
        <v/>
      </c>
      <c r="J169" s="41"/>
    </row>
    <row r="170" spans="2:10" ht="39.950000000000003" customHeight="1" x14ac:dyDescent="0.25">
      <c r="B170" s="41"/>
      <c r="C170" s="42"/>
      <c r="D170" s="43" t="str">
        <f t="shared" si="6"/>
        <v/>
      </c>
      <c r="E170" s="44" t="str">
        <f>IF($C170="","",INDEX(Summary!$J$3:$J$7,MATCH($C170,TaskListLeads,FALSE),1))</f>
        <v/>
      </c>
      <c r="F170" s="50"/>
      <c r="G170" s="45" t="str">
        <f t="shared" si="7"/>
        <v/>
      </c>
      <c r="H170" s="50"/>
      <c r="I170" s="45" t="str">
        <f t="shared" si="8"/>
        <v/>
      </c>
      <c r="J170" s="41"/>
    </row>
    <row r="171" spans="2:10" ht="39.950000000000003" customHeight="1" x14ac:dyDescent="0.25">
      <c r="B171" s="41"/>
      <c r="C171" s="42"/>
      <c r="D171" s="43" t="str">
        <f t="shared" si="6"/>
        <v/>
      </c>
      <c r="E171" s="44" t="str">
        <f>IF($C171="","",INDEX(Summary!$J$3:$J$7,MATCH($C171,TaskListLeads,FALSE),1))</f>
        <v/>
      </c>
      <c r="F171" s="50"/>
      <c r="G171" s="45" t="str">
        <f t="shared" si="7"/>
        <v/>
      </c>
      <c r="H171" s="50"/>
      <c r="I171" s="45" t="str">
        <f t="shared" si="8"/>
        <v/>
      </c>
      <c r="J171" s="41"/>
    </row>
    <row r="172" spans="2:10" ht="39.950000000000003" customHeight="1" x14ac:dyDescent="0.25">
      <c r="B172" s="41"/>
      <c r="C172" s="42"/>
      <c r="D172" s="43" t="str">
        <f t="shared" si="6"/>
        <v/>
      </c>
      <c r="E172" s="44" t="str">
        <f>IF($C172="","",INDEX(Summary!$J$3:$J$7,MATCH($C172,TaskListLeads,FALSE),1))</f>
        <v/>
      </c>
      <c r="F172" s="50"/>
      <c r="G172" s="45" t="str">
        <f t="shared" si="7"/>
        <v/>
      </c>
      <c r="H172" s="50"/>
      <c r="I172" s="45" t="str">
        <f t="shared" si="8"/>
        <v/>
      </c>
      <c r="J172" s="41"/>
    </row>
    <row r="173" spans="2:10" ht="39.950000000000003" customHeight="1" x14ac:dyDescent="0.25">
      <c r="B173" s="41"/>
      <c r="C173" s="42"/>
      <c r="D173" s="43" t="str">
        <f t="shared" si="6"/>
        <v/>
      </c>
      <c r="E173" s="44" t="str">
        <f>IF($C173="","",INDEX(Summary!$J$3:$J$7,MATCH($C173,TaskListLeads,FALSE),1))</f>
        <v/>
      </c>
      <c r="F173" s="50"/>
      <c r="G173" s="45" t="str">
        <f t="shared" si="7"/>
        <v/>
      </c>
      <c r="H173" s="50"/>
      <c r="I173" s="45" t="str">
        <f t="shared" si="8"/>
        <v/>
      </c>
      <c r="J173" s="41"/>
    </row>
    <row r="174" spans="2:10" ht="39.950000000000003" customHeight="1" x14ac:dyDescent="0.25">
      <c r="B174" s="41"/>
      <c r="C174" s="42"/>
      <c r="D174" s="43" t="str">
        <f t="shared" si="6"/>
        <v/>
      </c>
      <c r="E174" s="44" t="str">
        <f>IF($C174="","",INDEX(Summary!$J$3:$J$7,MATCH($C174,TaskListLeads,FALSE),1))</f>
        <v/>
      </c>
      <c r="F174" s="50"/>
      <c r="G174" s="45" t="str">
        <f t="shared" si="7"/>
        <v/>
      </c>
      <c r="H174" s="50"/>
      <c r="I174" s="45" t="str">
        <f t="shared" si="8"/>
        <v/>
      </c>
      <c r="J174" s="41"/>
    </row>
    <row r="175" spans="2:10" ht="39.950000000000003" customHeight="1" x14ac:dyDescent="0.25">
      <c r="B175" s="41"/>
      <c r="C175" s="42"/>
      <c r="D175" s="43" t="str">
        <f t="shared" si="6"/>
        <v/>
      </c>
      <c r="E175" s="44" t="str">
        <f>IF($C175="","",INDEX(Summary!$J$3:$J$7,MATCH($C175,TaskListLeads,FALSE),1))</f>
        <v/>
      </c>
      <c r="F175" s="50"/>
      <c r="G175" s="45" t="str">
        <f t="shared" si="7"/>
        <v/>
      </c>
      <c r="H175" s="50"/>
      <c r="I175" s="45" t="str">
        <f t="shared" si="8"/>
        <v/>
      </c>
      <c r="J175" s="41"/>
    </row>
    <row r="176" spans="2:10" ht="39.950000000000003" customHeight="1" x14ac:dyDescent="0.25">
      <c r="B176" s="41"/>
      <c r="C176" s="42"/>
      <c r="D176" s="43" t="str">
        <f t="shared" si="6"/>
        <v/>
      </c>
      <c r="E176" s="44" t="str">
        <f>IF($C176="","",INDEX(Summary!$J$3:$J$7,MATCH($C176,TaskListLeads,FALSE),1))</f>
        <v/>
      </c>
      <c r="F176" s="50"/>
      <c r="G176" s="45" t="str">
        <f t="shared" si="7"/>
        <v/>
      </c>
      <c r="H176" s="50"/>
      <c r="I176" s="45" t="str">
        <f t="shared" si="8"/>
        <v/>
      </c>
      <c r="J176" s="41"/>
    </row>
    <row r="177" spans="2:10" ht="39.950000000000003" customHeight="1" x14ac:dyDescent="0.25">
      <c r="B177" s="41"/>
      <c r="C177" s="42"/>
      <c r="D177" s="43" t="str">
        <f t="shared" si="6"/>
        <v/>
      </c>
      <c r="E177" s="44" t="str">
        <f>IF($C177="","",INDEX(Summary!$J$3:$J$7,MATCH($C177,TaskListLeads,FALSE),1))</f>
        <v/>
      </c>
      <c r="F177" s="50"/>
      <c r="G177" s="45" t="str">
        <f t="shared" si="7"/>
        <v/>
      </c>
      <c r="H177" s="50"/>
      <c r="I177" s="45" t="str">
        <f t="shared" si="8"/>
        <v/>
      </c>
      <c r="J177" s="41"/>
    </row>
    <row r="178" spans="2:10" ht="39.950000000000003" customHeight="1" x14ac:dyDescent="0.25">
      <c r="B178" s="41"/>
      <c r="C178" s="42"/>
      <c r="D178" s="43" t="str">
        <f t="shared" si="6"/>
        <v/>
      </c>
      <c r="E178" s="44" t="str">
        <f>IF($C178="","",INDEX(Summary!$J$3:$J$7,MATCH($C178,TaskListLeads,FALSE),1))</f>
        <v/>
      </c>
      <c r="F178" s="50"/>
      <c r="G178" s="45" t="str">
        <f t="shared" si="7"/>
        <v/>
      </c>
      <c r="H178" s="50"/>
      <c r="I178" s="45" t="str">
        <f t="shared" si="8"/>
        <v/>
      </c>
      <c r="J178" s="41"/>
    </row>
    <row r="179" spans="2:10" ht="39.950000000000003" customHeight="1" x14ac:dyDescent="0.25">
      <c r="B179" s="41"/>
      <c r="C179" s="42"/>
      <c r="D179" s="43" t="str">
        <f t="shared" si="6"/>
        <v/>
      </c>
      <c r="E179" s="44" t="str">
        <f>IF($C179="","",INDEX(Summary!$J$3:$J$7,MATCH($C179,TaskListLeads,FALSE),1))</f>
        <v/>
      </c>
      <c r="F179" s="50"/>
      <c r="G179" s="45" t="str">
        <f t="shared" si="7"/>
        <v/>
      </c>
      <c r="H179" s="50"/>
      <c r="I179" s="45" t="str">
        <f t="shared" si="8"/>
        <v/>
      </c>
      <c r="J179" s="41"/>
    </row>
    <row r="180" spans="2:10" ht="39.950000000000003" customHeight="1" x14ac:dyDescent="0.25">
      <c r="B180" s="41"/>
      <c r="C180" s="42"/>
      <c r="D180" s="43" t="str">
        <f t="shared" si="6"/>
        <v/>
      </c>
      <c r="E180" s="44" t="str">
        <f>IF($C180="","",INDEX(Summary!$J$3:$J$7,MATCH($C180,TaskListLeads,FALSE),1))</f>
        <v/>
      </c>
      <c r="F180" s="50"/>
      <c r="G180" s="45" t="str">
        <f t="shared" si="7"/>
        <v/>
      </c>
      <c r="H180" s="50"/>
      <c r="I180" s="45" t="str">
        <f t="shared" si="8"/>
        <v/>
      </c>
      <c r="J180" s="41"/>
    </row>
    <row r="181" spans="2:10" ht="39.950000000000003" customHeight="1" x14ac:dyDescent="0.25">
      <c r="B181" s="41"/>
      <c r="C181" s="42"/>
      <c r="D181" s="43" t="str">
        <f t="shared" si="6"/>
        <v/>
      </c>
      <c r="E181" s="44" t="str">
        <f>IF($C181="","",INDEX(Summary!$J$3:$J$7,MATCH($C181,TaskListLeads,FALSE),1))</f>
        <v/>
      </c>
      <c r="F181" s="50"/>
      <c r="G181" s="45" t="str">
        <f t="shared" si="7"/>
        <v/>
      </c>
      <c r="H181" s="50"/>
      <c r="I181" s="45" t="str">
        <f t="shared" si="8"/>
        <v/>
      </c>
      <c r="J181" s="41"/>
    </row>
    <row r="182" spans="2:10" ht="39.950000000000003" customHeight="1" x14ac:dyDescent="0.25">
      <c r="B182" s="41"/>
      <c r="C182" s="42"/>
      <c r="D182" s="43" t="str">
        <f t="shared" si="6"/>
        <v/>
      </c>
      <c r="E182" s="44" t="str">
        <f>IF($C182="","",INDEX(Summary!$J$3:$J$7,MATCH($C182,TaskListLeads,FALSE),1))</f>
        <v/>
      </c>
      <c r="F182" s="50"/>
      <c r="G182" s="45" t="str">
        <f t="shared" si="7"/>
        <v/>
      </c>
      <c r="H182" s="50"/>
      <c r="I182" s="45" t="str">
        <f t="shared" si="8"/>
        <v/>
      </c>
      <c r="J182" s="41"/>
    </row>
    <row r="183" spans="2:10" ht="39.950000000000003" customHeight="1" x14ac:dyDescent="0.25">
      <c r="B183" s="41"/>
      <c r="C183" s="42"/>
      <c r="D183" s="43" t="str">
        <f t="shared" si="6"/>
        <v/>
      </c>
      <c r="E183" s="44" t="str">
        <f>IF($C183="","",INDEX(Summary!$J$3:$J$7,MATCH($C183,TaskListLeads,FALSE),1))</f>
        <v/>
      </c>
      <c r="F183" s="50"/>
      <c r="G183" s="45" t="str">
        <f t="shared" si="7"/>
        <v/>
      </c>
      <c r="H183" s="50"/>
      <c r="I183" s="45" t="str">
        <f t="shared" si="8"/>
        <v/>
      </c>
      <c r="J183" s="41"/>
    </row>
    <row r="184" spans="2:10" ht="39.950000000000003" customHeight="1" x14ac:dyDescent="0.25">
      <c r="B184" s="41"/>
      <c r="C184" s="42"/>
      <c r="D184" s="43" t="str">
        <f t="shared" si="6"/>
        <v/>
      </c>
      <c r="E184" s="44" t="str">
        <f>IF($C184="","",INDEX(Summary!$J$3:$J$7,MATCH($C184,TaskListLeads,FALSE),1))</f>
        <v/>
      </c>
      <c r="F184" s="50"/>
      <c r="G184" s="45" t="str">
        <f t="shared" si="7"/>
        <v/>
      </c>
      <c r="H184" s="50"/>
      <c r="I184" s="45" t="str">
        <f t="shared" si="8"/>
        <v/>
      </c>
      <c r="J184" s="41"/>
    </row>
    <row r="185" spans="2:10" ht="39.950000000000003" customHeight="1" x14ac:dyDescent="0.25">
      <c r="B185" s="41"/>
      <c r="C185" s="42"/>
      <c r="D185" s="43" t="str">
        <f t="shared" si="6"/>
        <v/>
      </c>
      <c r="E185" s="44" t="str">
        <f>IF($C185="","",INDEX(Summary!$J$3:$J$7,MATCH($C185,TaskListLeads,FALSE),1))</f>
        <v/>
      </c>
      <c r="F185" s="50"/>
      <c r="G185" s="45" t="str">
        <f t="shared" si="7"/>
        <v/>
      </c>
      <c r="H185" s="50"/>
      <c r="I185" s="45" t="str">
        <f t="shared" si="8"/>
        <v/>
      </c>
      <c r="J185" s="41"/>
    </row>
    <row r="186" spans="2:10" ht="39.950000000000003" customHeight="1" x14ac:dyDescent="0.25">
      <c r="B186" s="41"/>
      <c r="C186" s="42"/>
      <c r="D186" s="43" t="str">
        <f t="shared" si="6"/>
        <v/>
      </c>
      <c r="E186" s="44" t="str">
        <f>IF($C186="","",INDEX(Summary!$J$3:$J$7,MATCH($C186,TaskListLeads,FALSE),1))</f>
        <v/>
      </c>
      <c r="F186" s="50"/>
      <c r="G186" s="45" t="str">
        <f t="shared" si="7"/>
        <v/>
      </c>
      <c r="H186" s="50"/>
      <c r="I186" s="45" t="str">
        <f t="shared" si="8"/>
        <v/>
      </c>
      <c r="J186" s="41"/>
    </row>
    <row r="187" spans="2:10" ht="39.950000000000003" customHeight="1" x14ac:dyDescent="0.25">
      <c r="B187" s="41"/>
      <c r="C187" s="42"/>
      <c r="D187" s="43" t="str">
        <f t="shared" si="6"/>
        <v/>
      </c>
      <c r="E187" s="44" t="str">
        <f>IF($C187="","",INDEX(Summary!$J$3:$J$7,MATCH($C187,TaskListLeads,FALSE),1))</f>
        <v/>
      </c>
      <c r="F187" s="50"/>
      <c r="G187" s="45" t="str">
        <f t="shared" si="7"/>
        <v/>
      </c>
      <c r="H187" s="50"/>
      <c r="I187" s="45" t="str">
        <f t="shared" si="8"/>
        <v/>
      </c>
      <c r="J187" s="41"/>
    </row>
    <row r="188" spans="2:10" ht="39.950000000000003" customHeight="1" x14ac:dyDescent="0.25">
      <c r="B188" s="41"/>
      <c r="C188" s="42"/>
      <c r="D188" s="43" t="str">
        <f t="shared" si="6"/>
        <v/>
      </c>
      <c r="E188" s="44" t="str">
        <f>IF($C188="","",INDEX(Summary!$J$3:$J$7,MATCH($C188,TaskListLeads,FALSE),1))</f>
        <v/>
      </c>
      <c r="F188" s="50"/>
      <c r="G188" s="45" t="str">
        <f t="shared" si="7"/>
        <v/>
      </c>
      <c r="H188" s="50"/>
      <c r="I188" s="45" t="str">
        <f t="shared" si="8"/>
        <v/>
      </c>
      <c r="J188" s="41"/>
    </row>
    <row r="189" spans="2:10" ht="39.950000000000003" customHeight="1" x14ac:dyDescent="0.25">
      <c r="B189" s="41"/>
      <c r="C189" s="42"/>
      <c r="D189" s="43" t="str">
        <f t="shared" si="6"/>
        <v/>
      </c>
      <c r="E189" s="44" t="str">
        <f>IF($C189="","",INDEX(Summary!$J$3:$J$7,MATCH($C189,TaskListLeads,FALSE),1))</f>
        <v/>
      </c>
      <c r="F189" s="50"/>
      <c r="G189" s="45" t="str">
        <f t="shared" si="7"/>
        <v/>
      </c>
      <c r="H189" s="50"/>
      <c r="I189" s="45" t="str">
        <f t="shared" si="8"/>
        <v/>
      </c>
      <c r="J189" s="41"/>
    </row>
    <row r="190" spans="2:10" ht="39.950000000000003" customHeight="1" x14ac:dyDescent="0.25">
      <c r="B190" s="41"/>
      <c r="C190" s="42"/>
      <c r="D190" s="43" t="str">
        <f t="shared" si="6"/>
        <v/>
      </c>
      <c r="E190" s="44" t="str">
        <f>IF($C190="","",INDEX(Summary!$J$3:$J$7,MATCH($C190,TaskListLeads,FALSE),1))</f>
        <v/>
      </c>
      <c r="F190" s="50"/>
      <c r="G190" s="45" t="str">
        <f t="shared" si="7"/>
        <v/>
      </c>
      <c r="H190" s="50"/>
      <c r="I190" s="45" t="str">
        <f t="shared" si="8"/>
        <v/>
      </c>
      <c r="J190" s="41"/>
    </row>
    <row r="191" spans="2:10" ht="39.950000000000003" customHeight="1" x14ac:dyDescent="0.25">
      <c r="B191" s="41"/>
      <c r="C191" s="42"/>
      <c r="D191" s="43" t="str">
        <f t="shared" si="6"/>
        <v/>
      </c>
      <c r="E191" s="44" t="str">
        <f>IF($C191="","",INDEX(Summary!$J$3:$J$7,MATCH($C191,TaskListLeads,FALSE),1))</f>
        <v/>
      </c>
      <c r="F191" s="50"/>
      <c r="G191" s="45" t="str">
        <f t="shared" si="7"/>
        <v/>
      </c>
      <c r="H191" s="50"/>
      <c r="I191" s="45" t="str">
        <f t="shared" si="8"/>
        <v/>
      </c>
      <c r="J191" s="41"/>
    </row>
    <row r="192" spans="2:10" ht="39.950000000000003" customHeight="1" x14ac:dyDescent="0.25">
      <c r="B192" s="41"/>
      <c r="C192" s="42"/>
      <c r="D192" s="43" t="str">
        <f t="shared" si="6"/>
        <v/>
      </c>
      <c r="E192" s="44" t="str">
        <f>IF($C192="","",INDEX(Summary!$J$3:$J$7,MATCH($C192,TaskListLeads,FALSE),1))</f>
        <v/>
      </c>
      <c r="F192" s="50"/>
      <c r="G192" s="45" t="str">
        <f t="shared" si="7"/>
        <v/>
      </c>
      <c r="H192" s="50"/>
      <c r="I192" s="45" t="str">
        <f t="shared" si="8"/>
        <v/>
      </c>
      <c r="J192" s="41"/>
    </row>
    <row r="193" spans="2:10" ht="39.950000000000003" customHeight="1" x14ac:dyDescent="0.25">
      <c r="B193" s="41"/>
      <c r="C193" s="42"/>
      <c r="D193" s="43" t="str">
        <f t="shared" si="6"/>
        <v/>
      </c>
      <c r="E193" s="44" t="str">
        <f>IF($C193="","",INDEX(Summary!$J$3:$J$7,MATCH($C193,TaskListLeads,FALSE),1))</f>
        <v/>
      </c>
      <c r="F193" s="50"/>
      <c r="G193" s="45" t="str">
        <f t="shared" si="7"/>
        <v/>
      </c>
      <c r="H193" s="50"/>
      <c r="I193" s="45" t="str">
        <f t="shared" si="8"/>
        <v/>
      </c>
      <c r="J193" s="41"/>
    </row>
    <row r="194" spans="2:10" ht="39.950000000000003" customHeight="1" x14ac:dyDescent="0.25">
      <c r="B194" s="41"/>
      <c r="C194" s="42"/>
      <c r="D194" s="43" t="str">
        <f t="shared" si="6"/>
        <v/>
      </c>
      <c r="E194" s="44" t="str">
        <f>IF($C194="","",INDEX(Summary!$J$3:$J$7,MATCH($C194,TaskListLeads,FALSE),1))</f>
        <v/>
      </c>
      <c r="F194" s="50"/>
      <c r="G194" s="45" t="str">
        <f t="shared" si="7"/>
        <v/>
      </c>
      <c r="H194" s="50"/>
      <c r="I194" s="45" t="str">
        <f t="shared" si="8"/>
        <v/>
      </c>
      <c r="J194" s="41"/>
    </row>
    <row r="195" spans="2:10" ht="39.950000000000003" customHeight="1" x14ac:dyDescent="0.25">
      <c r="B195" s="41"/>
      <c r="C195" s="42"/>
      <c r="D195" s="43" t="str">
        <f t="shared" si="6"/>
        <v/>
      </c>
      <c r="E195" s="44" t="str">
        <f>IF($C195="","",INDEX(Summary!$J$3:$J$7,MATCH($C195,TaskListLeads,FALSE),1))</f>
        <v/>
      </c>
      <c r="F195" s="50"/>
      <c r="G195" s="45" t="str">
        <f t="shared" si="7"/>
        <v/>
      </c>
      <c r="H195" s="50"/>
      <c r="I195" s="45" t="str">
        <f t="shared" si="8"/>
        <v/>
      </c>
      <c r="J195" s="41"/>
    </row>
    <row r="196" spans="2:10" ht="39.950000000000003" customHeight="1" x14ac:dyDescent="0.25">
      <c r="B196" s="41"/>
      <c r="C196" s="42"/>
      <c r="D196" s="43" t="str">
        <f t="shared" si="6"/>
        <v/>
      </c>
      <c r="E196" s="44" t="str">
        <f>IF($C196="","",INDEX(Summary!$J$3:$J$7,MATCH($C196,TaskListLeads,FALSE),1))</f>
        <v/>
      </c>
      <c r="F196" s="50"/>
      <c r="G196" s="45" t="str">
        <f t="shared" si="7"/>
        <v/>
      </c>
      <c r="H196" s="50"/>
      <c r="I196" s="45" t="str">
        <f t="shared" si="8"/>
        <v/>
      </c>
      <c r="J196" s="41"/>
    </row>
    <row r="197" spans="2:10" ht="39.950000000000003" customHeight="1" x14ac:dyDescent="0.25">
      <c r="B197" s="41"/>
      <c r="C197" s="42"/>
      <c r="D197" s="43" t="str">
        <f t="shared" si="6"/>
        <v/>
      </c>
      <c r="E197" s="44" t="str">
        <f>IF($C197="","",INDEX(Summary!$J$3:$J$7,MATCH($C197,TaskListLeads,FALSE),1))</f>
        <v/>
      </c>
      <c r="F197" s="50"/>
      <c r="G197" s="45" t="str">
        <f t="shared" si="7"/>
        <v/>
      </c>
      <c r="H197" s="50"/>
      <c r="I197" s="45" t="str">
        <f t="shared" si="8"/>
        <v/>
      </c>
      <c r="J197" s="41"/>
    </row>
    <row r="198" spans="2:10" ht="39.950000000000003" customHeight="1" x14ac:dyDescent="0.25">
      <c r="B198" s="41"/>
      <c r="C198" s="42"/>
      <c r="D198" s="43" t="str">
        <f t="shared" si="6"/>
        <v/>
      </c>
      <c r="E198" s="44" t="str">
        <f>IF($C198="","",INDEX(Summary!$J$3:$J$7,MATCH($C198,TaskListLeads,FALSE),1))</f>
        <v/>
      </c>
      <c r="F198" s="50"/>
      <c r="G198" s="45" t="str">
        <f t="shared" si="7"/>
        <v/>
      </c>
      <c r="H198" s="50"/>
      <c r="I198" s="45" t="str">
        <f t="shared" si="8"/>
        <v/>
      </c>
      <c r="J198" s="41"/>
    </row>
    <row r="199" spans="2:10" ht="39.950000000000003" customHeight="1" x14ac:dyDescent="0.25">
      <c r="B199" s="41"/>
      <c r="C199" s="42"/>
      <c r="D199" s="43" t="str">
        <f t="shared" si="6"/>
        <v/>
      </c>
      <c r="E199" s="44" t="str">
        <f>IF($C199="","",INDEX(Summary!$J$3:$J$7,MATCH($C199,TaskListLeads,FALSE),1))</f>
        <v/>
      </c>
      <c r="F199" s="50"/>
      <c r="G199" s="45" t="str">
        <f t="shared" si="7"/>
        <v/>
      </c>
      <c r="H199" s="50"/>
      <c r="I199" s="45" t="str">
        <f t="shared" si="8"/>
        <v/>
      </c>
      <c r="J199" s="41"/>
    </row>
    <row r="200" spans="2:10" ht="39.950000000000003" customHeight="1" x14ac:dyDescent="0.25">
      <c r="B200" s="41"/>
      <c r="C200" s="42"/>
      <c r="D200" s="43" t="str">
        <f t="shared" si="6"/>
        <v/>
      </c>
      <c r="E200" s="44" t="str">
        <f>IF($C200="","",INDEX(Summary!$J$3:$J$7,MATCH($C200,TaskListLeads,FALSE),1))</f>
        <v/>
      </c>
      <c r="F200" s="50"/>
      <c r="G200" s="45" t="str">
        <f t="shared" si="7"/>
        <v/>
      </c>
      <c r="H200" s="50"/>
      <c r="I200" s="45" t="str">
        <f t="shared" si="8"/>
        <v/>
      </c>
      <c r="J200" s="41"/>
    </row>
    <row r="201" spans="2:10" ht="39.950000000000003" customHeight="1" x14ac:dyDescent="0.25">
      <c r="B201" s="41"/>
      <c r="C201" s="42"/>
      <c r="D201" s="43" t="str">
        <f t="shared" si="6"/>
        <v/>
      </c>
      <c r="E201" s="44" t="str">
        <f>IF($C201="","",INDEX(Summary!$J$3:$J$7,MATCH($C201,TaskListLeads,FALSE),1))</f>
        <v/>
      </c>
      <c r="F201" s="50"/>
      <c r="G201" s="45" t="str">
        <f t="shared" si="7"/>
        <v/>
      </c>
      <c r="H201" s="50"/>
      <c r="I201" s="45" t="str">
        <f t="shared" si="8"/>
        <v/>
      </c>
      <c r="J201" s="41"/>
    </row>
    <row r="202" spans="2:10" ht="39.950000000000003" customHeight="1" x14ac:dyDescent="0.25">
      <c r="B202" s="41"/>
      <c r="C202" s="42"/>
      <c r="D202" s="43" t="str">
        <f t="shared" si="6"/>
        <v/>
      </c>
      <c r="E202" s="44" t="str">
        <f>IF($C202="","",INDEX(Summary!$J$3:$J$7,MATCH($C202,TaskListLeads,FALSE),1))</f>
        <v/>
      </c>
      <c r="F202" s="50"/>
      <c r="G202" s="45" t="str">
        <f t="shared" si="7"/>
        <v/>
      </c>
      <c r="H202" s="50"/>
      <c r="I202" s="45" t="str">
        <f t="shared" si="8"/>
        <v/>
      </c>
      <c r="J202" s="41"/>
    </row>
    <row r="203" spans="2:10" ht="39.950000000000003" customHeight="1" x14ac:dyDescent="0.25">
      <c r="B203" s="41"/>
      <c r="C203" s="42"/>
      <c r="D203" s="43" t="str">
        <f t="shared" ref="D203:D266" si="9">IF($C203="","",INDEX(TaskListCostCentres,MATCH($C203,TaskListLeads,FALSE),1))</f>
        <v/>
      </c>
      <c r="E203" s="44" t="str">
        <f>IF($C203="","",INDEX(Summary!$J$3:$J$7,MATCH($C203,TaskListLeads,FALSE),1))</f>
        <v/>
      </c>
      <c r="F203" s="50"/>
      <c r="G203" s="45" t="str">
        <f t="shared" ref="G203:G266" si="10">IF($F203="","",INDEX(ControlWeeksOf,MATCH($F203,ControlWeeksOf,TRUE),1))</f>
        <v/>
      </c>
      <c r="H203" s="50"/>
      <c r="I203" s="45" t="str">
        <f t="shared" ref="I203:I266" si="11">IF($H203="","",INDEX(ControlWeeksOf,MATCH($H203,ControlWeeksOf,TRUE),1))</f>
        <v/>
      </c>
      <c r="J203" s="41"/>
    </row>
    <row r="204" spans="2:10" ht="39.950000000000003" customHeight="1" x14ac:dyDescent="0.25">
      <c r="B204" s="41"/>
      <c r="C204" s="42"/>
      <c r="D204" s="43" t="str">
        <f t="shared" si="9"/>
        <v/>
      </c>
      <c r="E204" s="44" t="str">
        <f>IF($C204="","",INDEX(Summary!$J$3:$J$7,MATCH($C204,TaskListLeads,FALSE),1))</f>
        <v/>
      </c>
      <c r="F204" s="50"/>
      <c r="G204" s="45" t="str">
        <f t="shared" si="10"/>
        <v/>
      </c>
      <c r="H204" s="50"/>
      <c r="I204" s="45" t="str">
        <f t="shared" si="11"/>
        <v/>
      </c>
      <c r="J204" s="41"/>
    </row>
    <row r="205" spans="2:10" ht="39.950000000000003" customHeight="1" x14ac:dyDescent="0.25">
      <c r="B205" s="41"/>
      <c r="C205" s="42"/>
      <c r="D205" s="43" t="str">
        <f t="shared" si="9"/>
        <v/>
      </c>
      <c r="E205" s="44" t="str">
        <f>IF($C205="","",INDEX(Summary!$J$3:$J$7,MATCH($C205,TaskListLeads,FALSE),1))</f>
        <v/>
      </c>
      <c r="F205" s="50"/>
      <c r="G205" s="45" t="str">
        <f t="shared" si="10"/>
        <v/>
      </c>
      <c r="H205" s="50"/>
      <c r="I205" s="45" t="str">
        <f t="shared" si="11"/>
        <v/>
      </c>
      <c r="J205" s="41"/>
    </row>
    <row r="206" spans="2:10" ht="39.950000000000003" customHeight="1" x14ac:dyDescent="0.25">
      <c r="B206" s="41"/>
      <c r="C206" s="42"/>
      <c r="D206" s="43" t="str">
        <f t="shared" si="9"/>
        <v/>
      </c>
      <c r="E206" s="44" t="str">
        <f>IF($C206="","",INDEX(Summary!$J$3:$J$7,MATCH($C206,TaskListLeads,FALSE),1))</f>
        <v/>
      </c>
      <c r="F206" s="50"/>
      <c r="G206" s="45" t="str">
        <f t="shared" si="10"/>
        <v/>
      </c>
      <c r="H206" s="50"/>
      <c r="I206" s="45" t="str">
        <f t="shared" si="11"/>
        <v/>
      </c>
      <c r="J206" s="41"/>
    </row>
    <row r="207" spans="2:10" ht="39.950000000000003" customHeight="1" x14ac:dyDescent="0.25">
      <c r="B207" s="41"/>
      <c r="C207" s="42"/>
      <c r="D207" s="43" t="str">
        <f t="shared" si="9"/>
        <v/>
      </c>
      <c r="E207" s="44" t="str">
        <f>IF($C207="","",INDEX(Summary!$J$3:$J$7,MATCH($C207,TaskListLeads,FALSE),1))</f>
        <v/>
      </c>
      <c r="F207" s="50"/>
      <c r="G207" s="45" t="str">
        <f t="shared" si="10"/>
        <v/>
      </c>
      <c r="H207" s="50"/>
      <c r="I207" s="45" t="str">
        <f t="shared" si="11"/>
        <v/>
      </c>
      <c r="J207" s="41"/>
    </row>
    <row r="208" spans="2:10" ht="39.950000000000003" customHeight="1" x14ac:dyDescent="0.25">
      <c r="B208" s="41"/>
      <c r="C208" s="42"/>
      <c r="D208" s="43" t="str">
        <f t="shared" si="9"/>
        <v/>
      </c>
      <c r="E208" s="44" t="str">
        <f>IF($C208="","",INDEX(Summary!$J$3:$J$7,MATCH($C208,TaskListLeads,FALSE),1))</f>
        <v/>
      </c>
      <c r="F208" s="50"/>
      <c r="G208" s="45" t="str">
        <f t="shared" si="10"/>
        <v/>
      </c>
      <c r="H208" s="50"/>
      <c r="I208" s="45" t="str">
        <f t="shared" si="11"/>
        <v/>
      </c>
      <c r="J208" s="41"/>
    </row>
    <row r="209" spans="2:10" ht="39.950000000000003" customHeight="1" x14ac:dyDescent="0.25">
      <c r="B209" s="41"/>
      <c r="C209" s="42"/>
      <c r="D209" s="43" t="str">
        <f t="shared" si="9"/>
        <v/>
      </c>
      <c r="E209" s="44" t="str">
        <f>IF($C209="","",INDEX(Summary!$J$3:$J$7,MATCH($C209,TaskListLeads,FALSE),1))</f>
        <v/>
      </c>
      <c r="F209" s="50"/>
      <c r="G209" s="45" t="str">
        <f t="shared" si="10"/>
        <v/>
      </c>
      <c r="H209" s="50"/>
      <c r="I209" s="45" t="str">
        <f t="shared" si="11"/>
        <v/>
      </c>
      <c r="J209" s="41"/>
    </row>
    <row r="210" spans="2:10" ht="39.950000000000003" customHeight="1" x14ac:dyDescent="0.25">
      <c r="B210" s="41"/>
      <c r="C210" s="42"/>
      <c r="D210" s="43" t="str">
        <f t="shared" si="9"/>
        <v/>
      </c>
      <c r="E210" s="44" t="str">
        <f>IF($C210="","",INDEX(Summary!$J$3:$J$7,MATCH($C210,TaskListLeads,FALSE),1))</f>
        <v/>
      </c>
      <c r="F210" s="50"/>
      <c r="G210" s="45" t="str">
        <f t="shared" si="10"/>
        <v/>
      </c>
      <c r="H210" s="50"/>
      <c r="I210" s="45" t="str">
        <f t="shared" si="11"/>
        <v/>
      </c>
      <c r="J210" s="41"/>
    </row>
    <row r="211" spans="2:10" ht="39.950000000000003" customHeight="1" x14ac:dyDescent="0.25">
      <c r="B211" s="41"/>
      <c r="C211" s="42"/>
      <c r="D211" s="43" t="str">
        <f t="shared" si="9"/>
        <v/>
      </c>
      <c r="E211" s="44" t="str">
        <f>IF($C211="","",INDEX(Summary!$J$3:$J$7,MATCH($C211,TaskListLeads,FALSE),1))</f>
        <v/>
      </c>
      <c r="F211" s="50"/>
      <c r="G211" s="45" t="str">
        <f t="shared" si="10"/>
        <v/>
      </c>
      <c r="H211" s="50"/>
      <c r="I211" s="45" t="str">
        <f t="shared" si="11"/>
        <v/>
      </c>
      <c r="J211" s="41"/>
    </row>
    <row r="212" spans="2:10" ht="39.950000000000003" customHeight="1" x14ac:dyDescent="0.25">
      <c r="B212" s="41"/>
      <c r="C212" s="42"/>
      <c r="D212" s="43" t="str">
        <f t="shared" si="9"/>
        <v/>
      </c>
      <c r="E212" s="44" t="str">
        <f>IF($C212="","",INDEX(Summary!$J$3:$J$7,MATCH($C212,TaskListLeads,FALSE),1))</f>
        <v/>
      </c>
      <c r="F212" s="50"/>
      <c r="G212" s="45" t="str">
        <f t="shared" si="10"/>
        <v/>
      </c>
      <c r="H212" s="50"/>
      <c r="I212" s="45" t="str">
        <f t="shared" si="11"/>
        <v/>
      </c>
      <c r="J212" s="41"/>
    </row>
    <row r="213" spans="2:10" ht="39.950000000000003" customHeight="1" x14ac:dyDescent="0.25">
      <c r="B213" s="41"/>
      <c r="C213" s="42"/>
      <c r="D213" s="43" t="str">
        <f t="shared" si="9"/>
        <v/>
      </c>
      <c r="E213" s="44" t="str">
        <f>IF($C213="","",INDEX(Summary!$J$3:$J$7,MATCH($C213,TaskListLeads,FALSE),1))</f>
        <v/>
      </c>
      <c r="F213" s="50"/>
      <c r="G213" s="45" t="str">
        <f t="shared" si="10"/>
        <v/>
      </c>
      <c r="H213" s="50"/>
      <c r="I213" s="45" t="str">
        <f t="shared" si="11"/>
        <v/>
      </c>
      <c r="J213" s="41"/>
    </row>
    <row r="214" spans="2:10" ht="39.950000000000003" customHeight="1" x14ac:dyDescent="0.25">
      <c r="B214" s="41"/>
      <c r="C214" s="42"/>
      <c r="D214" s="43" t="str">
        <f t="shared" si="9"/>
        <v/>
      </c>
      <c r="E214" s="44" t="str">
        <f>IF($C214="","",INDEX(Summary!$J$3:$J$7,MATCH($C214,TaskListLeads,FALSE),1))</f>
        <v/>
      </c>
      <c r="F214" s="50"/>
      <c r="G214" s="45" t="str">
        <f t="shared" si="10"/>
        <v/>
      </c>
      <c r="H214" s="50"/>
      <c r="I214" s="45" t="str">
        <f t="shared" si="11"/>
        <v/>
      </c>
      <c r="J214" s="41"/>
    </row>
    <row r="215" spans="2:10" ht="39.950000000000003" customHeight="1" x14ac:dyDescent="0.25">
      <c r="B215" s="41"/>
      <c r="C215" s="42"/>
      <c r="D215" s="43" t="str">
        <f t="shared" si="9"/>
        <v/>
      </c>
      <c r="E215" s="44" t="str">
        <f>IF($C215="","",INDEX(Summary!$J$3:$J$7,MATCH($C215,TaskListLeads,FALSE),1))</f>
        <v/>
      </c>
      <c r="F215" s="50"/>
      <c r="G215" s="45" t="str">
        <f t="shared" si="10"/>
        <v/>
      </c>
      <c r="H215" s="50"/>
      <c r="I215" s="45" t="str">
        <f t="shared" si="11"/>
        <v/>
      </c>
      <c r="J215" s="41"/>
    </row>
    <row r="216" spans="2:10" ht="39.950000000000003" customHeight="1" x14ac:dyDescent="0.25">
      <c r="B216" s="41"/>
      <c r="C216" s="42"/>
      <c r="D216" s="43" t="str">
        <f t="shared" si="9"/>
        <v/>
      </c>
      <c r="E216" s="44" t="str">
        <f>IF($C216="","",INDEX(Summary!$J$3:$J$7,MATCH($C216,TaskListLeads,FALSE),1))</f>
        <v/>
      </c>
      <c r="F216" s="50"/>
      <c r="G216" s="45" t="str">
        <f t="shared" si="10"/>
        <v/>
      </c>
      <c r="H216" s="50"/>
      <c r="I216" s="45" t="str">
        <f t="shared" si="11"/>
        <v/>
      </c>
      <c r="J216" s="41"/>
    </row>
    <row r="217" spans="2:10" ht="39.950000000000003" customHeight="1" x14ac:dyDescent="0.25">
      <c r="B217" s="41"/>
      <c r="C217" s="42"/>
      <c r="D217" s="43" t="str">
        <f t="shared" si="9"/>
        <v/>
      </c>
      <c r="E217" s="44" t="str">
        <f>IF($C217="","",INDEX(Summary!$J$3:$J$7,MATCH($C217,TaskListLeads,FALSE),1))</f>
        <v/>
      </c>
      <c r="F217" s="50"/>
      <c r="G217" s="45" t="str">
        <f t="shared" si="10"/>
        <v/>
      </c>
      <c r="H217" s="50"/>
      <c r="I217" s="45" t="str">
        <f t="shared" si="11"/>
        <v/>
      </c>
      <c r="J217" s="41"/>
    </row>
    <row r="218" spans="2:10" ht="39.950000000000003" customHeight="1" x14ac:dyDescent="0.25">
      <c r="B218" s="41"/>
      <c r="C218" s="42"/>
      <c r="D218" s="43" t="str">
        <f t="shared" si="9"/>
        <v/>
      </c>
      <c r="E218" s="44" t="str">
        <f>IF($C218="","",INDEX(Summary!$J$3:$J$7,MATCH($C218,TaskListLeads,FALSE),1))</f>
        <v/>
      </c>
      <c r="F218" s="50"/>
      <c r="G218" s="45" t="str">
        <f t="shared" si="10"/>
        <v/>
      </c>
      <c r="H218" s="50"/>
      <c r="I218" s="45" t="str">
        <f t="shared" si="11"/>
        <v/>
      </c>
      <c r="J218" s="41"/>
    </row>
    <row r="219" spans="2:10" ht="39.950000000000003" customHeight="1" x14ac:dyDescent="0.25">
      <c r="B219" s="41"/>
      <c r="C219" s="42"/>
      <c r="D219" s="43" t="str">
        <f t="shared" si="9"/>
        <v/>
      </c>
      <c r="E219" s="44" t="str">
        <f>IF($C219="","",INDEX(Summary!$J$3:$J$7,MATCH($C219,TaskListLeads,FALSE),1))</f>
        <v/>
      </c>
      <c r="F219" s="50"/>
      <c r="G219" s="45" t="str">
        <f t="shared" si="10"/>
        <v/>
      </c>
      <c r="H219" s="50"/>
      <c r="I219" s="45" t="str">
        <f t="shared" si="11"/>
        <v/>
      </c>
      <c r="J219" s="41"/>
    </row>
    <row r="220" spans="2:10" ht="39.950000000000003" customHeight="1" x14ac:dyDescent="0.25">
      <c r="B220" s="41"/>
      <c r="C220" s="42"/>
      <c r="D220" s="43" t="str">
        <f t="shared" si="9"/>
        <v/>
      </c>
      <c r="E220" s="44" t="str">
        <f>IF($C220="","",INDEX(Summary!$J$3:$J$7,MATCH($C220,TaskListLeads,FALSE),1))</f>
        <v/>
      </c>
      <c r="F220" s="50"/>
      <c r="G220" s="45" t="str">
        <f t="shared" si="10"/>
        <v/>
      </c>
      <c r="H220" s="50"/>
      <c r="I220" s="45" t="str">
        <f t="shared" si="11"/>
        <v/>
      </c>
      <c r="J220" s="41"/>
    </row>
    <row r="221" spans="2:10" ht="39.950000000000003" customHeight="1" x14ac:dyDescent="0.25">
      <c r="B221" s="41"/>
      <c r="C221" s="42"/>
      <c r="D221" s="43" t="str">
        <f t="shared" si="9"/>
        <v/>
      </c>
      <c r="E221" s="44" t="str">
        <f>IF($C221="","",INDEX(Summary!$J$3:$J$7,MATCH($C221,TaskListLeads,FALSE),1))</f>
        <v/>
      </c>
      <c r="F221" s="50"/>
      <c r="G221" s="45" t="str">
        <f t="shared" si="10"/>
        <v/>
      </c>
      <c r="H221" s="50"/>
      <c r="I221" s="45" t="str">
        <f t="shared" si="11"/>
        <v/>
      </c>
      <c r="J221" s="41"/>
    </row>
    <row r="222" spans="2:10" ht="39.950000000000003" customHeight="1" x14ac:dyDescent="0.25">
      <c r="B222" s="41"/>
      <c r="C222" s="42"/>
      <c r="D222" s="43" t="str">
        <f t="shared" si="9"/>
        <v/>
      </c>
      <c r="E222" s="44" t="str">
        <f>IF($C222="","",INDEX(Summary!$J$3:$J$7,MATCH($C222,TaskListLeads,FALSE),1))</f>
        <v/>
      </c>
      <c r="F222" s="50"/>
      <c r="G222" s="45" t="str">
        <f t="shared" si="10"/>
        <v/>
      </c>
      <c r="H222" s="50"/>
      <c r="I222" s="45" t="str">
        <f t="shared" si="11"/>
        <v/>
      </c>
      <c r="J222" s="41"/>
    </row>
    <row r="223" spans="2:10" ht="39.950000000000003" customHeight="1" x14ac:dyDescent="0.25">
      <c r="B223" s="41"/>
      <c r="C223" s="42"/>
      <c r="D223" s="43" t="str">
        <f t="shared" si="9"/>
        <v/>
      </c>
      <c r="E223" s="44" t="str">
        <f>IF($C223="","",INDEX(Summary!$J$3:$J$7,MATCH($C223,TaskListLeads,FALSE),1))</f>
        <v/>
      </c>
      <c r="F223" s="50"/>
      <c r="G223" s="45" t="str">
        <f t="shared" si="10"/>
        <v/>
      </c>
      <c r="H223" s="50"/>
      <c r="I223" s="45" t="str">
        <f t="shared" si="11"/>
        <v/>
      </c>
      <c r="J223" s="41"/>
    </row>
    <row r="224" spans="2:10" ht="39.950000000000003" customHeight="1" x14ac:dyDescent="0.25">
      <c r="B224" s="41"/>
      <c r="C224" s="42"/>
      <c r="D224" s="43" t="str">
        <f t="shared" si="9"/>
        <v/>
      </c>
      <c r="E224" s="44" t="str">
        <f>IF($C224="","",INDEX(Summary!$J$3:$J$7,MATCH($C224,TaskListLeads,FALSE),1))</f>
        <v/>
      </c>
      <c r="F224" s="50"/>
      <c r="G224" s="45" t="str">
        <f t="shared" si="10"/>
        <v/>
      </c>
      <c r="H224" s="50"/>
      <c r="I224" s="45" t="str">
        <f t="shared" si="11"/>
        <v/>
      </c>
      <c r="J224" s="41"/>
    </row>
    <row r="225" spans="2:10" ht="39.950000000000003" customHeight="1" x14ac:dyDescent="0.25">
      <c r="B225" s="41"/>
      <c r="C225" s="42"/>
      <c r="D225" s="43" t="str">
        <f t="shared" si="9"/>
        <v/>
      </c>
      <c r="E225" s="44" t="str">
        <f>IF($C225="","",INDEX(Summary!$J$3:$J$7,MATCH($C225,TaskListLeads,FALSE),1))</f>
        <v/>
      </c>
      <c r="F225" s="50"/>
      <c r="G225" s="45" t="str">
        <f t="shared" si="10"/>
        <v/>
      </c>
      <c r="H225" s="50"/>
      <c r="I225" s="45" t="str">
        <f t="shared" si="11"/>
        <v/>
      </c>
      <c r="J225" s="41"/>
    </row>
    <row r="226" spans="2:10" ht="39.950000000000003" customHeight="1" x14ac:dyDescent="0.25">
      <c r="B226" s="41"/>
      <c r="C226" s="42"/>
      <c r="D226" s="43" t="str">
        <f t="shared" si="9"/>
        <v/>
      </c>
      <c r="E226" s="44" t="str">
        <f>IF($C226="","",INDEX(Summary!$J$3:$J$7,MATCH($C226,TaskListLeads,FALSE),1))</f>
        <v/>
      </c>
      <c r="F226" s="50"/>
      <c r="G226" s="45" t="str">
        <f t="shared" si="10"/>
        <v/>
      </c>
      <c r="H226" s="50"/>
      <c r="I226" s="45" t="str">
        <f t="shared" si="11"/>
        <v/>
      </c>
      <c r="J226" s="41"/>
    </row>
    <row r="227" spans="2:10" ht="39.950000000000003" customHeight="1" x14ac:dyDescent="0.25">
      <c r="B227" s="41"/>
      <c r="C227" s="42"/>
      <c r="D227" s="43" t="str">
        <f t="shared" si="9"/>
        <v/>
      </c>
      <c r="E227" s="44" t="str">
        <f>IF($C227="","",INDEX(Summary!$J$3:$J$7,MATCH($C227,TaskListLeads,FALSE),1))</f>
        <v/>
      </c>
      <c r="F227" s="50"/>
      <c r="G227" s="45" t="str">
        <f t="shared" si="10"/>
        <v/>
      </c>
      <c r="H227" s="50"/>
      <c r="I227" s="45" t="str">
        <f t="shared" si="11"/>
        <v/>
      </c>
      <c r="J227" s="41"/>
    </row>
    <row r="228" spans="2:10" ht="39.950000000000003" customHeight="1" x14ac:dyDescent="0.25">
      <c r="B228" s="41"/>
      <c r="C228" s="42"/>
      <c r="D228" s="43" t="str">
        <f t="shared" si="9"/>
        <v/>
      </c>
      <c r="E228" s="44" t="str">
        <f>IF($C228="","",INDEX(Summary!$J$3:$J$7,MATCH($C228,TaskListLeads,FALSE),1))</f>
        <v/>
      </c>
      <c r="F228" s="50"/>
      <c r="G228" s="45" t="str">
        <f t="shared" si="10"/>
        <v/>
      </c>
      <c r="H228" s="50"/>
      <c r="I228" s="45" t="str">
        <f t="shared" si="11"/>
        <v/>
      </c>
      <c r="J228" s="41"/>
    </row>
    <row r="229" spans="2:10" ht="39.950000000000003" customHeight="1" x14ac:dyDescent="0.25">
      <c r="B229" s="41"/>
      <c r="C229" s="42"/>
      <c r="D229" s="43" t="str">
        <f t="shared" si="9"/>
        <v/>
      </c>
      <c r="E229" s="44" t="str">
        <f>IF($C229="","",INDEX(Summary!$J$3:$J$7,MATCH($C229,TaskListLeads,FALSE),1))</f>
        <v/>
      </c>
      <c r="F229" s="50"/>
      <c r="G229" s="45" t="str">
        <f t="shared" si="10"/>
        <v/>
      </c>
      <c r="H229" s="50"/>
      <c r="I229" s="45" t="str">
        <f t="shared" si="11"/>
        <v/>
      </c>
      <c r="J229" s="41"/>
    </row>
    <row r="230" spans="2:10" ht="39.950000000000003" customHeight="1" x14ac:dyDescent="0.25">
      <c r="B230" s="41"/>
      <c r="C230" s="42"/>
      <c r="D230" s="43" t="str">
        <f t="shared" si="9"/>
        <v/>
      </c>
      <c r="E230" s="44" t="str">
        <f>IF($C230="","",INDEX(Summary!$J$3:$J$7,MATCH($C230,TaskListLeads,FALSE),1))</f>
        <v/>
      </c>
      <c r="F230" s="50"/>
      <c r="G230" s="45" t="str">
        <f t="shared" si="10"/>
        <v/>
      </c>
      <c r="H230" s="50"/>
      <c r="I230" s="45" t="str">
        <f t="shared" si="11"/>
        <v/>
      </c>
      <c r="J230" s="41"/>
    </row>
    <row r="231" spans="2:10" ht="39.950000000000003" customHeight="1" x14ac:dyDescent="0.25">
      <c r="B231" s="41"/>
      <c r="C231" s="42"/>
      <c r="D231" s="43" t="str">
        <f t="shared" si="9"/>
        <v/>
      </c>
      <c r="E231" s="44" t="str">
        <f>IF($C231="","",INDEX(Summary!$J$3:$J$7,MATCH($C231,TaskListLeads,FALSE),1))</f>
        <v/>
      </c>
      <c r="F231" s="50"/>
      <c r="G231" s="45" t="str">
        <f t="shared" si="10"/>
        <v/>
      </c>
      <c r="H231" s="50"/>
      <c r="I231" s="45" t="str">
        <f t="shared" si="11"/>
        <v/>
      </c>
      <c r="J231" s="41"/>
    </row>
    <row r="232" spans="2:10" ht="39.950000000000003" customHeight="1" x14ac:dyDescent="0.25">
      <c r="B232" s="41"/>
      <c r="C232" s="42"/>
      <c r="D232" s="43" t="str">
        <f t="shared" si="9"/>
        <v/>
      </c>
      <c r="E232" s="44" t="str">
        <f>IF($C232="","",INDEX(Summary!$J$3:$J$7,MATCH($C232,TaskListLeads,FALSE),1))</f>
        <v/>
      </c>
      <c r="F232" s="50"/>
      <c r="G232" s="45" t="str">
        <f t="shared" si="10"/>
        <v/>
      </c>
      <c r="H232" s="50"/>
      <c r="I232" s="45" t="str">
        <f t="shared" si="11"/>
        <v/>
      </c>
      <c r="J232" s="41"/>
    </row>
    <row r="233" spans="2:10" ht="39.950000000000003" customHeight="1" x14ac:dyDescent="0.25">
      <c r="B233" s="41"/>
      <c r="C233" s="42"/>
      <c r="D233" s="43" t="str">
        <f t="shared" si="9"/>
        <v/>
      </c>
      <c r="E233" s="44" t="str">
        <f>IF($C233="","",INDEX(Summary!$J$3:$J$7,MATCH($C233,TaskListLeads,FALSE),1))</f>
        <v/>
      </c>
      <c r="F233" s="50"/>
      <c r="G233" s="45" t="str">
        <f t="shared" si="10"/>
        <v/>
      </c>
      <c r="H233" s="50"/>
      <c r="I233" s="45" t="str">
        <f t="shared" si="11"/>
        <v/>
      </c>
      <c r="J233" s="41"/>
    </row>
    <row r="234" spans="2:10" ht="39.950000000000003" customHeight="1" x14ac:dyDescent="0.25">
      <c r="B234" s="41"/>
      <c r="C234" s="42"/>
      <c r="D234" s="43" t="str">
        <f t="shared" si="9"/>
        <v/>
      </c>
      <c r="E234" s="44" t="str">
        <f>IF($C234="","",INDEX(Summary!$J$3:$J$7,MATCH($C234,TaskListLeads,FALSE),1))</f>
        <v/>
      </c>
      <c r="F234" s="50"/>
      <c r="G234" s="45" t="str">
        <f t="shared" si="10"/>
        <v/>
      </c>
      <c r="H234" s="50"/>
      <c r="I234" s="45" t="str">
        <f t="shared" si="11"/>
        <v/>
      </c>
      <c r="J234" s="41"/>
    </row>
    <row r="235" spans="2:10" ht="39.950000000000003" customHeight="1" x14ac:dyDescent="0.25">
      <c r="B235" s="41"/>
      <c r="C235" s="42"/>
      <c r="D235" s="43" t="str">
        <f t="shared" si="9"/>
        <v/>
      </c>
      <c r="E235" s="44" t="str">
        <f>IF($C235="","",INDEX(Summary!$J$3:$J$7,MATCH($C235,TaskListLeads,FALSE),1))</f>
        <v/>
      </c>
      <c r="F235" s="50"/>
      <c r="G235" s="45" t="str">
        <f t="shared" si="10"/>
        <v/>
      </c>
      <c r="H235" s="50"/>
      <c r="I235" s="45" t="str">
        <f t="shared" si="11"/>
        <v/>
      </c>
      <c r="J235" s="41"/>
    </row>
    <row r="236" spans="2:10" ht="39.950000000000003" customHeight="1" x14ac:dyDescent="0.25">
      <c r="B236" s="41"/>
      <c r="C236" s="42"/>
      <c r="D236" s="43" t="str">
        <f t="shared" si="9"/>
        <v/>
      </c>
      <c r="E236" s="44" t="str">
        <f>IF($C236="","",INDEX(Summary!$J$3:$J$7,MATCH($C236,TaskListLeads,FALSE),1))</f>
        <v/>
      </c>
      <c r="F236" s="50"/>
      <c r="G236" s="45" t="str">
        <f t="shared" si="10"/>
        <v/>
      </c>
      <c r="H236" s="50"/>
      <c r="I236" s="45" t="str">
        <f t="shared" si="11"/>
        <v/>
      </c>
      <c r="J236" s="41"/>
    </row>
    <row r="237" spans="2:10" ht="39.950000000000003" customHeight="1" x14ac:dyDescent="0.25">
      <c r="B237" s="41"/>
      <c r="C237" s="42"/>
      <c r="D237" s="43" t="str">
        <f t="shared" si="9"/>
        <v/>
      </c>
      <c r="E237" s="44" t="str">
        <f>IF($C237="","",INDEX(Summary!$J$3:$J$7,MATCH($C237,TaskListLeads,FALSE),1))</f>
        <v/>
      </c>
      <c r="F237" s="50"/>
      <c r="G237" s="45" t="str">
        <f t="shared" si="10"/>
        <v/>
      </c>
      <c r="H237" s="50"/>
      <c r="I237" s="45" t="str">
        <f t="shared" si="11"/>
        <v/>
      </c>
      <c r="J237" s="41"/>
    </row>
    <row r="238" spans="2:10" ht="39.950000000000003" customHeight="1" x14ac:dyDescent="0.25">
      <c r="B238" s="41"/>
      <c r="C238" s="42"/>
      <c r="D238" s="43" t="str">
        <f t="shared" si="9"/>
        <v/>
      </c>
      <c r="E238" s="44" t="str">
        <f>IF($C238="","",INDEX(Summary!$J$3:$J$7,MATCH($C238,TaskListLeads,FALSE),1))</f>
        <v/>
      </c>
      <c r="F238" s="50"/>
      <c r="G238" s="45" t="str">
        <f t="shared" si="10"/>
        <v/>
      </c>
      <c r="H238" s="50"/>
      <c r="I238" s="45" t="str">
        <f t="shared" si="11"/>
        <v/>
      </c>
      <c r="J238" s="41"/>
    </row>
    <row r="239" spans="2:10" ht="39.950000000000003" customHeight="1" x14ac:dyDescent="0.25">
      <c r="B239" s="41"/>
      <c r="C239" s="42"/>
      <c r="D239" s="43" t="str">
        <f t="shared" si="9"/>
        <v/>
      </c>
      <c r="E239" s="44" t="str">
        <f>IF($C239="","",INDEX(Summary!$J$3:$J$7,MATCH($C239,TaskListLeads,FALSE),1))</f>
        <v/>
      </c>
      <c r="F239" s="50"/>
      <c r="G239" s="45" t="str">
        <f t="shared" si="10"/>
        <v/>
      </c>
      <c r="H239" s="50"/>
      <c r="I239" s="45" t="str">
        <f t="shared" si="11"/>
        <v/>
      </c>
      <c r="J239" s="41"/>
    </row>
    <row r="240" spans="2:10" ht="39.950000000000003" customHeight="1" x14ac:dyDescent="0.25">
      <c r="B240" s="41"/>
      <c r="C240" s="42"/>
      <c r="D240" s="43" t="str">
        <f t="shared" si="9"/>
        <v/>
      </c>
      <c r="E240" s="44" t="str">
        <f>IF($C240="","",INDEX(Summary!$J$3:$J$7,MATCH($C240,TaskListLeads,FALSE),1))</f>
        <v/>
      </c>
      <c r="F240" s="50"/>
      <c r="G240" s="45" t="str">
        <f t="shared" si="10"/>
        <v/>
      </c>
      <c r="H240" s="50"/>
      <c r="I240" s="45" t="str">
        <f t="shared" si="11"/>
        <v/>
      </c>
      <c r="J240" s="41"/>
    </row>
    <row r="241" spans="2:10" ht="39.950000000000003" customHeight="1" x14ac:dyDescent="0.25">
      <c r="B241" s="41"/>
      <c r="C241" s="42"/>
      <c r="D241" s="43" t="str">
        <f t="shared" si="9"/>
        <v/>
      </c>
      <c r="E241" s="44" t="str">
        <f>IF($C241="","",INDEX(Summary!$J$3:$J$7,MATCH($C241,TaskListLeads,FALSE),1))</f>
        <v/>
      </c>
      <c r="F241" s="50"/>
      <c r="G241" s="45" t="str">
        <f t="shared" si="10"/>
        <v/>
      </c>
      <c r="H241" s="50"/>
      <c r="I241" s="45" t="str">
        <f t="shared" si="11"/>
        <v/>
      </c>
      <c r="J241" s="41"/>
    </row>
    <row r="242" spans="2:10" ht="39.950000000000003" customHeight="1" x14ac:dyDescent="0.25">
      <c r="B242" s="41"/>
      <c r="C242" s="42"/>
      <c r="D242" s="43" t="str">
        <f t="shared" si="9"/>
        <v/>
      </c>
      <c r="E242" s="44" t="str">
        <f>IF($C242="","",INDEX(Summary!$J$3:$J$7,MATCH($C242,TaskListLeads,FALSE),1))</f>
        <v/>
      </c>
      <c r="F242" s="50"/>
      <c r="G242" s="45" t="str">
        <f t="shared" si="10"/>
        <v/>
      </c>
      <c r="H242" s="50"/>
      <c r="I242" s="45" t="str">
        <f t="shared" si="11"/>
        <v/>
      </c>
      <c r="J242" s="41"/>
    </row>
    <row r="243" spans="2:10" ht="39.950000000000003" customHeight="1" x14ac:dyDescent="0.25">
      <c r="B243" s="41"/>
      <c r="C243" s="42"/>
      <c r="D243" s="43" t="str">
        <f t="shared" si="9"/>
        <v/>
      </c>
      <c r="E243" s="44" t="str">
        <f>IF($C243="","",INDEX(Summary!$J$3:$J$7,MATCH($C243,TaskListLeads,FALSE),1))</f>
        <v/>
      </c>
      <c r="F243" s="50"/>
      <c r="G243" s="45" t="str">
        <f t="shared" si="10"/>
        <v/>
      </c>
      <c r="H243" s="50"/>
      <c r="I243" s="45" t="str">
        <f t="shared" si="11"/>
        <v/>
      </c>
      <c r="J243" s="41"/>
    </row>
    <row r="244" spans="2:10" ht="39.950000000000003" customHeight="1" x14ac:dyDescent="0.25">
      <c r="B244" s="41"/>
      <c r="C244" s="42"/>
      <c r="D244" s="43" t="str">
        <f t="shared" si="9"/>
        <v/>
      </c>
      <c r="E244" s="44" t="str">
        <f>IF($C244="","",INDEX(Summary!$J$3:$J$7,MATCH($C244,TaskListLeads,FALSE),1))</f>
        <v/>
      </c>
      <c r="F244" s="50"/>
      <c r="G244" s="45" t="str">
        <f t="shared" si="10"/>
        <v/>
      </c>
      <c r="H244" s="50"/>
      <c r="I244" s="45" t="str">
        <f t="shared" si="11"/>
        <v/>
      </c>
      <c r="J244" s="41"/>
    </row>
    <row r="245" spans="2:10" ht="39.950000000000003" customHeight="1" x14ac:dyDescent="0.25">
      <c r="B245" s="41"/>
      <c r="C245" s="42"/>
      <c r="D245" s="43" t="str">
        <f t="shared" si="9"/>
        <v/>
      </c>
      <c r="E245" s="44" t="str">
        <f>IF($C245="","",INDEX(Summary!$J$3:$J$7,MATCH($C245,TaskListLeads,FALSE),1))</f>
        <v/>
      </c>
      <c r="F245" s="50"/>
      <c r="G245" s="45" t="str">
        <f t="shared" si="10"/>
        <v/>
      </c>
      <c r="H245" s="50"/>
      <c r="I245" s="45" t="str">
        <f t="shared" si="11"/>
        <v/>
      </c>
      <c r="J245" s="41"/>
    </row>
    <row r="246" spans="2:10" ht="39.950000000000003" customHeight="1" x14ac:dyDescent="0.25">
      <c r="B246" s="41"/>
      <c r="C246" s="42"/>
      <c r="D246" s="43" t="str">
        <f t="shared" si="9"/>
        <v/>
      </c>
      <c r="E246" s="44" t="str">
        <f>IF($C246="","",INDEX(Summary!$J$3:$J$7,MATCH($C246,TaskListLeads,FALSE),1))</f>
        <v/>
      </c>
      <c r="F246" s="50"/>
      <c r="G246" s="45" t="str">
        <f t="shared" si="10"/>
        <v/>
      </c>
      <c r="H246" s="50"/>
      <c r="I246" s="45" t="str">
        <f t="shared" si="11"/>
        <v/>
      </c>
      <c r="J246" s="41"/>
    </row>
    <row r="247" spans="2:10" ht="39.950000000000003" customHeight="1" x14ac:dyDescent="0.25">
      <c r="B247" s="41"/>
      <c r="C247" s="42"/>
      <c r="D247" s="43" t="str">
        <f t="shared" si="9"/>
        <v/>
      </c>
      <c r="E247" s="44" t="str">
        <f>IF($C247="","",INDEX(Summary!$J$3:$J$7,MATCH($C247,TaskListLeads,FALSE),1))</f>
        <v/>
      </c>
      <c r="F247" s="50"/>
      <c r="G247" s="45" t="str">
        <f t="shared" si="10"/>
        <v/>
      </c>
      <c r="H247" s="50"/>
      <c r="I247" s="45" t="str">
        <f t="shared" si="11"/>
        <v/>
      </c>
      <c r="J247" s="41"/>
    </row>
    <row r="248" spans="2:10" ht="39.950000000000003" customHeight="1" x14ac:dyDescent="0.25">
      <c r="B248" s="41"/>
      <c r="C248" s="42"/>
      <c r="D248" s="43" t="str">
        <f t="shared" si="9"/>
        <v/>
      </c>
      <c r="E248" s="44" t="str">
        <f>IF($C248="","",INDEX(Summary!$J$3:$J$7,MATCH($C248,TaskListLeads,FALSE),1))</f>
        <v/>
      </c>
      <c r="F248" s="50"/>
      <c r="G248" s="45" t="str">
        <f t="shared" si="10"/>
        <v/>
      </c>
      <c r="H248" s="50"/>
      <c r="I248" s="45" t="str">
        <f t="shared" si="11"/>
        <v/>
      </c>
      <c r="J248" s="41"/>
    </row>
    <row r="249" spans="2:10" ht="39.950000000000003" customHeight="1" x14ac:dyDescent="0.25">
      <c r="B249" s="41"/>
      <c r="C249" s="42"/>
      <c r="D249" s="43" t="str">
        <f t="shared" si="9"/>
        <v/>
      </c>
      <c r="E249" s="44" t="str">
        <f>IF($C249="","",INDEX(Summary!$J$3:$J$7,MATCH($C249,TaskListLeads,FALSE),1))</f>
        <v/>
      </c>
      <c r="F249" s="50"/>
      <c r="G249" s="45" t="str">
        <f t="shared" si="10"/>
        <v/>
      </c>
      <c r="H249" s="50"/>
      <c r="I249" s="45" t="str">
        <f t="shared" si="11"/>
        <v/>
      </c>
      <c r="J249" s="41"/>
    </row>
    <row r="250" spans="2:10" ht="39.950000000000003" customHeight="1" x14ac:dyDescent="0.25">
      <c r="B250" s="41"/>
      <c r="C250" s="42"/>
      <c r="D250" s="43" t="str">
        <f t="shared" si="9"/>
        <v/>
      </c>
      <c r="E250" s="44" t="str">
        <f>IF($C250="","",INDEX(Summary!$J$3:$J$7,MATCH($C250,TaskListLeads,FALSE),1))</f>
        <v/>
      </c>
      <c r="F250" s="50"/>
      <c r="G250" s="45" t="str">
        <f t="shared" si="10"/>
        <v/>
      </c>
      <c r="H250" s="50"/>
      <c r="I250" s="45" t="str">
        <f t="shared" si="11"/>
        <v/>
      </c>
      <c r="J250" s="41"/>
    </row>
    <row r="251" spans="2:10" ht="39.950000000000003" customHeight="1" x14ac:dyDescent="0.25">
      <c r="B251" s="41"/>
      <c r="C251" s="42"/>
      <c r="D251" s="43" t="str">
        <f t="shared" si="9"/>
        <v/>
      </c>
      <c r="E251" s="44" t="str">
        <f>IF($C251="","",INDEX(Summary!$J$3:$J$7,MATCH($C251,TaskListLeads,FALSE),1))</f>
        <v/>
      </c>
      <c r="F251" s="50"/>
      <c r="G251" s="45" t="str">
        <f t="shared" si="10"/>
        <v/>
      </c>
      <c r="H251" s="50"/>
      <c r="I251" s="45" t="str">
        <f t="shared" si="11"/>
        <v/>
      </c>
      <c r="J251" s="41"/>
    </row>
    <row r="252" spans="2:10" ht="39.950000000000003" customHeight="1" x14ac:dyDescent="0.25">
      <c r="B252" s="41"/>
      <c r="C252" s="42"/>
      <c r="D252" s="43" t="str">
        <f t="shared" si="9"/>
        <v/>
      </c>
      <c r="E252" s="44" t="str">
        <f>IF($C252="","",INDEX(Summary!$J$3:$J$7,MATCH($C252,TaskListLeads,FALSE),1))</f>
        <v/>
      </c>
      <c r="F252" s="50"/>
      <c r="G252" s="45" t="str">
        <f t="shared" si="10"/>
        <v/>
      </c>
      <c r="H252" s="50"/>
      <c r="I252" s="45" t="str">
        <f t="shared" si="11"/>
        <v/>
      </c>
      <c r="J252" s="41"/>
    </row>
    <row r="253" spans="2:10" ht="39.950000000000003" customHeight="1" x14ac:dyDescent="0.25">
      <c r="B253" s="41"/>
      <c r="C253" s="42"/>
      <c r="D253" s="43" t="str">
        <f t="shared" si="9"/>
        <v/>
      </c>
      <c r="E253" s="44" t="str">
        <f>IF($C253="","",INDEX(Summary!$J$3:$J$7,MATCH($C253,TaskListLeads,FALSE),1))</f>
        <v/>
      </c>
      <c r="F253" s="50"/>
      <c r="G253" s="45" t="str">
        <f t="shared" si="10"/>
        <v/>
      </c>
      <c r="H253" s="50"/>
      <c r="I253" s="45" t="str">
        <f t="shared" si="11"/>
        <v/>
      </c>
      <c r="J253" s="41"/>
    </row>
    <row r="254" spans="2:10" ht="39.950000000000003" customHeight="1" x14ac:dyDescent="0.25">
      <c r="B254" s="41"/>
      <c r="C254" s="42"/>
      <c r="D254" s="43" t="str">
        <f t="shared" si="9"/>
        <v/>
      </c>
      <c r="E254" s="44" t="str">
        <f>IF($C254="","",INDEX(Summary!$J$3:$J$7,MATCH($C254,TaskListLeads,FALSE),1))</f>
        <v/>
      </c>
      <c r="F254" s="50"/>
      <c r="G254" s="45" t="str">
        <f t="shared" si="10"/>
        <v/>
      </c>
      <c r="H254" s="50"/>
      <c r="I254" s="45" t="str">
        <f t="shared" si="11"/>
        <v/>
      </c>
      <c r="J254" s="41"/>
    </row>
    <row r="255" spans="2:10" ht="39.950000000000003" customHeight="1" x14ac:dyDescent="0.25">
      <c r="B255" s="41"/>
      <c r="C255" s="42"/>
      <c r="D255" s="43" t="str">
        <f t="shared" si="9"/>
        <v/>
      </c>
      <c r="E255" s="44" t="str">
        <f>IF($C255="","",INDEX(Summary!$J$3:$J$7,MATCH($C255,TaskListLeads,FALSE),1))</f>
        <v/>
      </c>
      <c r="F255" s="50"/>
      <c r="G255" s="45" t="str">
        <f t="shared" si="10"/>
        <v/>
      </c>
      <c r="H255" s="50"/>
      <c r="I255" s="45" t="str">
        <f t="shared" si="11"/>
        <v/>
      </c>
      <c r="J255" s="41"/>
    </row>
    <row r="256" spans="2:10" ht="39.950000000000003" customHeight="1" x14ac:dyDescent="0.25">
      <c r="B256" s="41"/>
      <c r="C256" s="42"/>
      <c r="D256" s="43" t="str">
        <f t="shared" si="9"/>
        <v/>
      </c>
      <c r="E256" s="44" t="str">
        <f>IF($C256="","",INDEX(Summary!$J$3:$J$7,MATCH($C256,TaskListLeads,FALSE),1))</f>
        <v/>
      </c>
      <c r="F256" s="50"/>
      <c r="G256" s="45" t="str">
        <f t="shared" si="10"/>
        <v/>
      </c>
      <c r="H256" s="50"/>
      <c r="I256" s="45" t="str">
        <f t="shared" si="11"/>
        <v/>
      </c>
      <c r="J256" s="41"/>
    </row>
    <row r="257" spans="2:10" ht="39.950000000000003" customHeight="1" x14ac:dyDescent="0.25">
      <c r="B257" s="41"/>
      <c r="C257" s="42"/>
      <c r="D257" s="43" t="str">
        <f t="shared" si="9"/>
        <v/>
      </c>
      <c r="E257" s="44" t="str">
        <f>IF($C257="","",INDEX(Summary!$J$3:$J$7,MATCH($C257,TaskListLeads,FALSE),1))</f>
        <v/>
      </c>
      <c r="F257" s="50"/>
      <c r="G257" s="45" t="str">
        <f t="shared" si="10"/>
        <v/>
      </c>
      <c r="H257" s="50"/>
      <c r="I257" s="45" t="str">
        <f t="shared" si="11"/>
        <v/>
      </c>
      <c r="J257" s="41"/>
    </row>
    <row r="258" spans="2:10" ht="39.950000000000003" customHeight="1" x14ac:dyDescent="0.25">
      <c r="B258" s="41"/>
      <c r="C258" s="42"/>
      <c r="D258" s="43" t="str">
        <f t="shared" si="9"/>
        <v/>
      </c>
      <c r="E258" s="44" t="str">
        <f>IF($C258="","",INDEX(Summary!$J$3:$J$7,MATCH($C258,TaskListLeads,FALSE),1))</f>
        <v/>
      </c>
      <c r="F258" s="50"/>
      <c r="G258" s="45" t="str">
        <f t="shared" si="10"/>
        <v/>
      </c>
      <c r="H258" s="50"/>
      <c r="I258" s="45" t="str">
        <f t="shared" si="11"/>
        <v/>
      </c>
      <c r="J258" s="41"/>
    </row>
    <row r="259" spans="2:10" ht="39.950000000000003" customHeight="1" x14ac:dyDescent="0.25">
      <c r="B259" s="41"/>
      <c r="C259" s="42"/>
      <c r="D259" s="43" t="str">
        <f t="shared" si="9"/>
        <v/>
      </c>
      <c r="E259" s="44" t="str">
        <f>IF($C259="","",INDEX(Summary!$J$3:$J$7,MATCH($C259,TaskListLeads,FALSE),1))</f>
        <v/>
      </c>
      <c r="F259" s="50"/>
      <c r="G259" s="45" t="str">
        <f t="shared" si="10"/>
        <v/>
      </c>
      <c r="H259" s="50"/>
      <c r="I259" s="45" t="str">
        <f t="shared" si="11"/>
        <v/>
      </c>
      <c r="J259" s="41"/>
    </row>
    <row r="260" spans="2:10" ht="39.950000000000003" customHeight="1" x14ac:dyDescent="0.25">
      <c r="B260" s="41"/>
      <c r="C260" s="42"/>
      <c r="D260" s="43" t="str">
        <f t="shared" si="9"/>
        <v/>
      </c>
      <c r="E260" s="44" t="str">
        <f>IF($C260="","",INDEX(Summary!$J$3:$J$7,MATCH($C260,TaskListLeads,FALSE),1))</f>
        <v/>
      </c>
      <c r="F260" s="50"/>
      <c r="G260" s="45" t="str">
        <f t="shared" si="10"/>
        <v/>
      </c>
      <c r="H260" s="50"/>
      <c r="I260" s="45" t="str">
        <f t="shared" si="11"/>
        <v/>
      </c>
      <c r="J260" s="41"/>
    </row>
    <row r="261" spans="2:10" ht="39.950000000000003" customHeight="1" x14ac:dyDescent="0.25">
      <c r="B261" s="41"/>
      <c r="C261" s="42"/>
      <c r="D261" s="43" t="str">
        <f t="shared" si="9"/>
        <v/>
      </c>
      <c r="E261" s="44" t="str">
        <f>IF($C261="","",INDEX(Summary!$J$3:$J$7,MATCH($C261,TaskListLeads,FALSE),1))</f>
        <v/>
      </c>
      <c r="F261" s="50"/>
      <c r="G261" s="45" t="str">
        <f t="shared" si="10"/>
        <v/>
      </c>
      <c r="H261" s="50"/>
      <c r="I261" s="45" t="str">
        <f t="shared" si="11"/>
        <v/>
      </c>
      <c r="J261" s="41"/>
    </row>
    <row r="262" spans="2:10" ht="39.950000000000003" customHeight="1" x14ac:dyDescent="0.25">
      <c r="B262" s="41"/>
      <c r="C262" s="42"/>
      <c r="D262" s="43" t="str">
        <f t="shared" si="9"/>
        <v/>
      </c>
      <c r="E262" s="44" t="str">
        <f>IF($C262="","",INDEX(Summary!$J$3:$J$7,MATCH($C262,TaskListLeads,FALSE),1))</f>
        <v/>
      </c>
      <c r="F262" s="50"/>
      <c r="G262" s="45" t="str">
        <f t="shared" si="10"/>
        <v/>
      </c>
      <c r="H262" s="50"/>
      <c r="I262" s="45" t="str">
        <f t="shared" si="11"/>
        <v/>
      </c>
      <c r="J262" s="41"/>
    </row>
    <row r="263" spans="2:10" ht="39.950000000000003" customHeight="1" x14ac:dyDescent="0.25">
      <c r="B263" s="41"/>
      <c r="C263" s="42"/>
      <c r="D263" s="43" t="str">
        <f t="shared" si="9"/>
        <v/>
      </c>
      <c r="E263" s="44" t="str">
        <f>IF($C263="","",INDEX(Summary!$J$3:$J$7,MATCH($C263,TaskListLeads,FALSE),1))</f>
        <v/>
      </c>
      <c r="F263" s="50"/>
      <c r="G263" s="45" t="str">
        <f t="shared" si="10"/>
        <v/>
      </c>
      <c r="H263" s="50"/>
      <c r="I263" s="45" t="str">
        <f t="shared" si="11"/>
        <v/>
      </c>
      <c r="J263" s="41"/>
    </row>
    <row r="264" spans="2:10" ht="39.950000000000003" customHeight="1" x14ac:dyDescent="0.25">
      <c r="B264" s="41"/>
      <c r="C264" s="42"/>
      <c r="D264" s="43" t="str">
        <f t="shared" si="9"/>
        <v/>
      </c>
      <c r="E264" s="44" t="str">
        <f>IF($C264="","",INDEX(Summary!$J$3:$J$7,MATCH($C264,TaskListLeads,FALSE),1))</f>
        <v/>
      </c>
      <c r="F264" s="50"/>
      <c r="G264" s="45" t="str">
        <f t="shared" si="10"/>
        <v/>
      </c>
      <c r="H264" s="50"/>
      <c r="I264" s="45" t="str">
        <f t="shared" si="11"/>
        <v/>
      </c>
      <c r="J264" s="41"/>
    </row>
    <row r="265" spans="2:10" ht="39.950000000000003" customHeight="1" x14ac:dyDescent="0.25">
      <c r="B265" s="41"/>
      <c r="C265" s="42"/>
      <c r="D265" s="43" t="str">
        <f t="shared" si="9"/>
        <v/>
      </c>
      <c r="E265" s="44" t="str">
        <f>IF($C265="","",INDEX(Summary!$J$3:$J$7,MATCH($C265,TaskListLeads,FALSE),1))</f>
        <v/>
      </c>
      <c r="F265" s="50"/>
      <c r="G265" s="45" t="str">
        <f t="shared" si="10"/>
        <v/>
      </c>
      <c r="H265" s="50"/>
      <c r="I265" s="45" t="str">
        <f t="shared" si="11"/>
        <v/>
      </c>
      <c r="J265" s="41"/>
    </row>
    <row r="266" spans="2:10" ht="39.950000000000003" customHeight="1" x14ac:dyDescent="0.25">
      <c r="B266" s="41"/>
      <c r="C266" s="42"/>
      <c r="D266" s="43" t="str">
        <f t="shared" si="9"/>
        <v/>
      </c>
      <c r="E266" s="44" t="str">
        <f>IF($C266="","",INDEX(Summary!$J$3:$J$7,MATCH($C266,TaskListLeads,FALSE),1))</f>
        <v/>
      </c>
      <c r="F266" s="50"/>
      <c r="G266" s="45" t="str">
        <f t="shared" si="10"/>
        <v/>
      </c>
      <c r="H266" s="50"/>
      <c r="I266" s="45" t="str">
        <f t="shared" si="11"/>
        <v/>
      </c>
      <c r="J266" s="41"/>
    </row>
    <row r="267" spans="2:10" ht="39.950000000000003" customHeight="1" x14ac:dyDescent="0.25">
      <c r="B267" s="41"/>
      <c r="C267" s="42"/>
      <c r="D267" s="43" t="str">
        <f t="shared" ref="D267:D330" si="12">IF($C267="","",INDEX(TaskListCostCentres,MATCH($C267,TaskListLeads,FALSE),1))</f>
        <v/>
      </c>
      <c r="E267" s="44" t="str">
        <f>IF($C267="","",INDEX(Summary!$J$3:$J$7,MATCH($C267,TaskListLeads,FALSE),1))</f>
        <v/>
      </c>
      <c r="F267" s="50"/>
      <c r="G267" s="45" t="str">
        <f t="shared" ref="G267:G330" si="13">IF($F267="","",INDEX(ControlWeeksOf,MATCH($F267,ControlWeeksOf,TRUE),1))</f>
        <v/>
      </c>
      <c r="H267" s="50"/>
      <c r="I267" s="45" t="str">
        <f t="shared" ref="I267:I330" si="14">IF($H267="","",INDEX(ControlWeeksOf,MATCH($H267,ControlWeeksOf,TRUE),1))</f>
        <v/>
      </c>
      <c r="J267" s="41"/>
    </row>
    <row r="268" spans="2:10" ht="39.950000000000003" customHeight="1" x14ac:dyDescent="0.25">
      <c r="B268" s="41"/>
      <c r="C268" s="42"/>
      <c r="D268" s="43" t="str">
        <f t="shared" si="12"/>
        <v/>
      </c>
      <c r="E268" s="44" t="str">
        <f>IF($C268="","",INDEX(Summary!$J$3:$J$7,MATCH($C268,TaskListLeads,FALSE),1))</f>
        <v/>
      </c>
      <c r="F268" s="50"/>
      <c r="G268" s="45" t="str">
        <f t="shared" si="13"/>
        <v/>
      </c>
      <c r="H268" s="50"/>
      <c r="I268" s="45" t="str">
        <f t="shared" si="14"/>
        <v/>
      </c>
      <c r="J268" s="41"/>
    </row>
    <row r="269" spans="2:10" ht="39.950000000000003" customHeight="1" x14ac:dyDescent="0.25">
      <c r="B269" s="41"/>
      <c r="C269" s="42"/>
      <c r="D269" s="43" t="str">
        <f t="shared" si="12"/>
        <v/>
      </c>
      <c r="E269" s="44" t="str">
        <f>IF($C269="","",INDEX(Summary!$J$3:$J$7,MATCH($C269,TaskListLeads,FALSE),1))</f>
        <v/>
      </c>
      <c r="F269" s="50"/>
      <c r="G269" s="45" t="str">
        <f t="shared" si="13"/>
        <v/>
      </c>
      <c r="H269" s="50"/>
      <c r="I269" s="45" t="str">
        <f t="shared" si="14"/>
        <v/>
      </c>
      <c r="J269" s="41"/>
    </row>
    <row r="270" spans="2:10" ht="39.950000000000003" customHeight="1" x14ac:dyDescent="0.25">
      <c r="B270" s="41"/>
      <c r="C270" s="42"/>
      <c r="D270" s="43" t="str">
        <f t="shared" si="12"/>
        <v/>
      </c>
      <c r="E270" s="44" t="str">
        <f>IF($C270="","",INDEX(Summary!$J$3:$J$7,MATCH($C270,TaskListLeads,FALSE),1))</f>
        <v/>
      </c>
      <c r="F270" s="50"/>
      <c r="G270" s="45" t="str">
        <f t="shared" si="13"/>
        <v/>
      </c>
      <c r="H270" s="50"/>
      <c r="I270" s="45" t="str">
        <f t="shared" si="14"/>
        <v/>
      </c>
      <c r="J270" s="41"/>
    </row>
    <row r="271" spans="2:10" ht="39.950000000000003" customHeight="1" x14ac:dyDescent="0.25">
      <c r="B271" s="41"/>
      <c r="C271" s="42"/>
      <c r="D271" s="43" t="str">
        <f t="shared" si="12"/>
        <v/>
      </c>
      <c r="E271" s="44" t="str">
        <f>IF($C271="","",INDEX(Summary!$J$3:$J$7,MATCH($C271,TaskListLeads,FALSE),1))</f>
        <v/>
      </c>
      <c r="F271" s="50"/>
      <c r="G271" s="45" t="str">
        <f t="shared" si="13"/>
        <v/>
      </c>
      <c r="H271" s="50"/>
      <c r="I271" s="45" t="str">
        <f t="shared" si="14"/>
        <v/>
      </c>
      <c r="J271" s="41"/>
    </row>
    <row r="272" spans="2:10" ht="39.950000000000003" customHeight="1" x14ac:dyDescent="0.25">
      <c r="B272" s="41"/>
      <c r="C272" s="42"/>
      <c r="D272" s="43" t="str">
        <f t="shared" si="12"/>
        <v/>
      </c>
      <c r="E272" s="44" t="str">
        <f>IF($C272="","",INDEX(Summary!$J$3:$J$7,MATCH($C272,TaskListLeads,FALSE),1))</f>
        <v/>
      </c>
      <c r="F272" s="50"/>
      <c r="G272" s="45" t="str">
        <f t="shared" si="13"/>
        <v/>
      </c>
      <c r="H272" s="50"/>
      <c r="I272" s="45" t="str">
        <f t="shared" si="14"/>
        <v/>
      </c>
      <c r="J272" s="41"/>
    </row>
    <row r="273" spans="2:10" ht="39.950000000000003" customHeight="1" x14ac:dyDescent="0.25">
      <c r="B273" s="41"/>
      <c r="C273" s="42"/>
      <c r="D273" s="43" t="str">
        <f t="shared" si="12"/>
        <v/>
      </c>
      <c r="E273" s="44" t="str">
        <f>IF($C273="","",INDEX(Summary!$J$3:$J$7,MATCH($C273,TaskListLeads,FALSE),1))</f>
        <v/>
      </c>
      <c r="F273" s="50"/>
      <c r="G273" s="45" t="str">
        <f t="shared" si="13"/>
        <v/>
      </c>
      <c r="H273" s="50"/>
      <c r="I273" s="45" t="str">
        <f t="shared" si="14"/>
        <v/>
      </c>
      <c r="J273" s="41"/>
    </row>
    <row r="274" spans="2:10" ht="39.950000000000003" customHeight="1" x14ac:dyDescent="0.25">
      <c r="B274" s="41"/>
      <c r="C274" s="42"/>
      <c r="D274" s="43" t="str">
        <f t="shared" si="12"/>
        <v/>
      </c>
      <c r="E274" s="44" t="str">
        <f>IF($C274="","",INDEX(Summary!$J$3:$J$7,MATCH($C274,TaskListLeads,FALSE),1))</f>
        <v/>
      </c>
      <c r="F274" s="50"/>
      <c r="G274" s="45" t="str">
        <f t="shared" si="13"/>
        <v/>
      </c>
      <c r="H274" s="50"/>
      <c r="I274" s="45" t="str">
        <f t="shared" si="14"/>
        <v/>
      </c>
      <c r="J274" s="41"/>
    </row>
    <row r="275" spans="2:10" ht="39.950000000000003" customHeight="1" x14ac:dyDescent="0.25">
      <c r="B275" s="41"/>
      <c r="C275" s="42"/>
      <c r="D275" s="43" t="str">
        <f t="shared" si="12"/>
        <v/>
      </c>
      <c r="E275" s="44" t="str">
        <f>IF($C275="","",INDEX(Summary!$J$3:$J$7,MATCH($C275,TaskListLeads,FALSE),1))</f>
        <v/>
      </c>
      <c r="F275" s="50"/>
      <c r="G275" s="45" t="str">
        <f t="shared" si="13"/>
        <v/>
      </c>
      <c r="H275" s="50"/>
      <c r="I275" s="45" t="str">
        <f t="shared" si="14"/>
        <v/>
      </c>
      <c r="J275" s="41"/>
    </row>
    <row r="276" spans="2:10" ht="39.950000000000003" customHeight="1" x14ac:dyDescent="0.25">
      <c r="B276" s="41"/>
      <c r="C276" s="42"/>
      <c r="D276" s="43" t="str">
        <f t="shared" si="12"/>
        <v/>
      </c>
      <c r="E276" s="44" t="str">
        <f>IF($C276="","",INDEX(Summary!$J$3:$J$7,MATCH($C276,TaskListLeads,FALSE),1))</f>
        <v/>
      </c>
      <c r="F276" s="50"/>
      <c r="G276" s="45" t="str">
        <f t="shared" si="13"/>
        <v/>
      </c>
      <c r="H276" s="50"/>
      <c r="I276" s="45" t="str">
        <f t="shared" si="14"/>
        <v/>
      </c>
      <c r="J276" s="41"/>
    </row>
    <row r="277" spans="2:10" ht="39.950000000000003" customHeight="1" x14ac:dyDescent="0.25">
      <c r="B277" s="41"/>
      <c r="C277" s="42"/>
      <c r="D277" s="43" t="str">
        <f t="shared" si="12"/>
        <v/>
      </c>
      <c r="E277" s="44" t="str">
        <f>IF($C277="","",INDEX(Summary!$J$3:$J$7,MATCH($C277,TaskListLeads,FALSE),1))</f>
        <v/>
      </c>
      <c r="F277" s="50"/>
      <c r="G277" s="45" t="str">
        <f t="shared" si="13"/>
        <v/>
      </c>
      <c r="H277" s="50"/>
      <c r="I277" s="45" t="str">
        <f t="shared" si="14"/>
        <v/>
      </c>
      <c r="J277" s="41"/>
    </row>
    <row r="278" spans="2:10" ht="39.950000000000003" customHeight="1" x14ac:dyDescent="0.25">
      <c r="B278" s="41"/>
      <c r="C278" s="42"/>
      <c r="D278" s="43" t="str">
        <f t="shared" si="12"/>
        <v/>
      </c>
      <c r="E278" s="44" t="str">
        <f>IF($C278="","",INDEX(Summary!$J$3:$J$7,MATCH($C278,TaskListLeads,FALSE),1))</f>
        <v/>
      </c>
      <c r="F278" s="50"/>
      <c r="G278" s="45" t="str">
        <f t="shared" si="13"/>
        <v/>
      </c>
      <c r="H278" s="50"/>
      <c r="I278" s="45" t="str">
        <f t="shared" si="14"/>
        <v/>
      </c>
      <c r="J278" s="41"/>
    </row>
    <row r="279" spans="2:10" ht="39.950000000000003" customHeight="1" x14ac:dyDescent="0.25">
      <c r="B279" s="41"/>
      <c r="C279" s="42"/>
      <c r="D279" s="43" t="str">
        <f t="shared" si="12"/>
        <v/>
      </c>
      <c r="E279" s="44" t="str">
        <f>IF($C279="","",INDEX(Summary!$J$3:$J$7,MATCH($C279,TaskListLeads,FALSE),1))</f>
        <v/>
      </c>
      <c r="F279" s="50"/>
      <c r="G279" s="45" t="str">
        <f t="shared" si="13"/>
        <v/>
      </c>
      <c r="H279" s="50"/>
      <c r="I279" s="45" t="str">
        <f t="shared" si="14"/>
        <v/>
      </c>
      <c r="J279" s="41"/>
    </row>
    <row r="280" spans="2:10" ht="39.950000000000003" customHeight="1" x14ac:dyDescent="0.25">
      <c r="B280" s="41"/>
      <c r="C280" s="42"/>
      <c r="D280" s="43" t="str">
        <f t="shared" si="12"/>
        <v/>
      </c>
      <c r="E280" s="44" t="str">
        <f>IF($C280="","",INDEX(Summary!$J$3:$J$7,MATCH($C280,TaskListLeads,FALSE),1))</f>
        <v/>
      </c>
      <c r="F280" s="50"/>
      <c r="G280" s="45" t="str">
        <f t="shared" si="13"/>
        <v/>
      </c>
      <c r="H280" s="50"/>
      <c r="I280" s="45" t="str">
        <f t="shared" si="14"/>
        <v/>
      </c>
      <c r="J280" s="41"/>
    </row>
    <row r="281" spans="2:10" ht="39.950000000000003" customHeight="1" x14ac:dyDescent="0.25">
      <c r="B281" s="41"/>
      <c r="C281" s="42"/>
      <c r="D281" s="43" t="str">
        <f t="shared" si="12"/>
        <v/>
      </c>
      <c r="E281" s="44" t="str">
        <f>IF($C281="","",INDEX(Summary!$J$3:$J$7,MATCH($C281,TaskListLeads,FALSE),1))</f>
        <v/>
      </c>
      <c r="F281" s="50"/>
      <c r="G281" s="45" t="str">
        <f t="shared" si="13"/>
        <v/>
      </c>
      <c r="H281" s="50"/>
      <c r="I281" s="45" t="str">
        <f t="shared" si="14"/>
        <v/>
      </c>
      <c r="J281" s="41"/>
    </row>
    <row r="282" spans="2:10" ht="39.950000000000003" customHeight="1" x14ac:dyDescent="0.25">
      <c r="B282" s="41"/>
      <c r="C282" s="42"/>
      <c r="D282" s="43" t="str">
        <f t="shared" si="12"/>
        <v/>
      </c>
      <c r="E282" s="44" t="str">
        <f>IF($C282="","",INDEX(Summary!$J$3:$J$7,MATCH($C282,TaskListLeads,FALSE),1))</f>
        <v/>
      </c>
      <c r="F282" s="50"/>
      <c r="G282" s="45" t="str">
        <f t="shared" si="13"/>
        <v/>
      </c>
      <c r="H282" s="50"/>
      <c r="I282" s="45" t="str">
        <f t="shared" si="14"/>
        <v/>
      </c>
      <c r="J282" s="41"/>
    </row>
    <row r="283" spans="2:10" ht="39.950000000000003" customHeight="1" x14ac:dyDescent="0.25">
      <c r="B283" s="41"/>
      <c r="C283" s="42"/>
      <c r="D283" s="43" t="str">
        <f t="shared" si="12"/>
        <v/>
      </c>
      <c r="E283" s="44" t="str">
        <f>IF($C283="","",INDEX(Summary!$J$3:$J$7,MATCH($C283,TaskListLeads,FALSE),1))</f>
        <v/>
      </c>
      <c r="F283" s="50"/>
      <c r="G283" s="45" t="str">
        <f t="shared" si="13"/>
        <v/>
      </c>
      <c r="H283" s="50"/>
      <c r="I283" s="45" t="str">
        <f t="shared" si="14"/>
        <v/>
      </c>
      <c r="J283" s="41"/>
    </row>
    <row r="284" spans="2:10" ht="39.950000000000003" customHeight="1" x14ac:dyDescent="0.25">
      <c r="B284" s="41"/>
      <c r="C284" s="42"/>
      <c r="D284" s="43" t="str">
        <f t="shared" si="12"/>
        <v/>
      </c>
      <c r="E284" s="44" t="str">
        <f>IF($C284="","",INDEX(Summary!$J$3:$J$7,MATCH($C284,TaskListLeads,FALSE),1))</f>
        <v/>
      </c>
      <c r="F284" s="50"/>
      <c r="G284" s="45" t="str">
        <f t="shared" si="13"/>
        <v/>
      </c>
      <c r="H284" s="50"/>
      <c r="I284" s="45" t="str">
        <f t="shared" si="14"/>
        <v/>
      </c>
      <c r="J284" s="41"/>
    </row>
    <row r="285" spans="2:10" ht="39.950000000000003" customHeight="1" x14ac:dyDescent="0.25">
      <c r="B285" s="41"/>
      <c r="C285" s="42"/>
      <c r="D285" s="43" t="str">
        <f t="shared" si="12"/>
        <v/>
      </c>
      <c r="E285" s="44" t="str">
        <f>IF($C285="","",INDEX(Summary!$J$3:$J$7,MATCH($C285,TaskListLeads,FALSE),1))</f>
        <v/>
      </c>
      <c r="F285" s="50"/>
      <c r="G285" s="45" t="str">
        <f t="shared" si="13"/>
        <v/>
      </c>
      <c r="H285" s="50"/>
      <c r="I285" s="45" t="str">
        <f t="shared" si="14"/>
        <v/>
      </c>
      <c r="J285" s="41"/>
    </row>
    <row r="286" spans="2:10" ht="39.950000000000003" customHeight="1" x14ac:dyDescent="0.25">
      <c r="B286" s="41"/>
      <c r="C286" s="42"/>
      <c r="D286" s="43" t="str">
        <f t="shared" si="12"/>
        <v/>
      </c>
      <c r="E286" s="44" t="str">
        <f>IF($C286="","",INDEX(Summary!$J$3:$J$7,MATCH($C286,TaskListLeads,FALSE),1))</f>
        <v/>
      </c>
      <c r="F286" s="50"/>
      <c r="G286" s="45" t="str">
        <f t="shared" si="13"/>
        <v/>
      </c>
      <c r="H286" s="50"/>
      <c r="I286" s="45" t="str">
        <f t="shared" si="14"/>
        <v/>
      </c>
      <c r="J286" s="41"/>
    </row>
    <row r="287" spans="2:10" ht="39.950000000000003" customHeight="1" x14ac:dyDescent="0.25">
      <c r="B287" s="41"/>
      <c r="C287" s="42"/>
      <c r="D287" s="43" t="str">
        <f t="shared" si="12"/>
        <v/>
      </c>
      <c r="E287" s="44" t="str">
        <f>IF($C287="","",INDEX(Summary!$J$3:$J$7,MATCH($C287,TaskListLeads,FALSE),1))</f>
        <v/>
      </c>
      <c r="F287" s="50"/>
      <c r="G287" s="45" t="str">
        <f t="shared" si="13"/>
        <v/>
      </c>
      <c r="H287" s="50"/>
      <c r="I287" s="45" t="str">
        <f t="shared" si="14"/>
        <v/>
      </c>
      <c r="J287" s="41"/>
    </row>
    <row r="288" spans="2:10" ht="39.950000000000003" customHeight="1" x14ac:dyDescent="0.25">
      <c r="B288" s="41"/>
      <c r="C288" s="42"/>
      <c r="D288" s="43" t="str">
        <f t="shared" si="12"/>
        <v/>
      </c>
      <c r="E288" s="44" t="str">
        <f>IF($C288="","",INDEX(Summary!$J$3:$J$7,MATCH($C288,TaskListLeads,FALSE),1))</f>
        <v/>
      </c>
      <c r="F288" s="50"/>
      <c r="G288" s="45" t="str">
        <f t="shared" si="13"/>
        <v/>
      </c>
      <c r="H288" s="50"/>
      <c r="I288" s="45" t="str">
        <f t="shared" si="14"/>
        <v/>
      </c>
      <c r="J288" s="41"/>
    </row>
    <row r="289" spans="2:10" ht="39.950000000000003" customHeight="1" x14ac:dyDescent="0.25">
      <c r="B289" s="41"/>
      <c r="C289" s="42"/>
      <c r="D289" s="43" t="str">
        <f t="shared" si="12"/>
        <v/>
      </c>
      <c r="E289" s="44" t="str">
        <f>IF($C289="","",INDEX(Summary!$J$3:$J$7,MATCH($C289,TaskListLeads,FALSE),1))</f>
        <v/>
      </c>
      <c r="F289" s="50"/>
      <c r="G289" s="45" t="str">
        <f t="shared" si="13"/>
        <v/>
      </c>
      <c r="H289" s="50"/>
      <c r="I289" s="45" t="str">
        <f t="shared" si="14"/>
        <v/>
      </c>
      <c r="J289" s="41"/>
    </row>
    <row r="290" spans="2:10" ht="39.950000000000003" customHeight="1" x14ac:dyDescent="0.25">
      <c r="B290" s="41"/>
      <c r="C290" s="42"/>
      <c r="D290" s="43" t="str">
        <f t="shared" si="12"/>
        <v/>
      </c>
      <c r="E290" s="44" t="str">
        <f>IF($C290="","",INDEX(Summary!$J$3:$J$7,MATCH($C290,TaskListLeads,FALSE),1))</f>
        <v/>
      </c>
      <c r="F290" s="50"/>
      <c r="G290" s="45" t="str">
        <f t="shared" si="13"/>
        <v/>
      </c>
      <c r="H290" s="50"/>
      <c r="I290" s="45" t="str">
        <f t="shared" si="14"/>
        <v/>
      </c>
      <c r="J290" s="41"/>
    </row>
    <row r="291" spans="2:10" ht="39.950000000000003" customHeight="1" x14ac:dyDescent="0.25">
      <c r="B291" s="41"/>
      <c r="C291" s="42"/>
      <c r="D291" s="43" t="str">
        <f t="shared" si="12"/>
        <v/>
      </c>
      <c r="E291" s="44" t="str">
        <f>IF($C291="","",INDEX(Summary!$J$3:$J$7,MATCH($C291,TaskListLeads,FALSE),1))</f>
        <v/>
      </c>
      <c r="F291" s="50"/>
      <c r="G291" s="45" t="str">
        <f t="shared" si="13"/>
        <v/>
      </c>
      <c r="H291" s="50"/>
      <c r="I291" s="45" t="str">
        <f t="shared" si="14"/>
        <v/>
      </c>
      <c r="J291" s="41"/>
    </row>
    <row r="292" spans="2:10" ht="39.950000000000003" customHeight="1" x14ac:dyDescent="0.25">
      <c r="B292" s="41"/>
      <c r="C292" s="42"/>
      <c r="D292" s="43" t="str">
        <f t="shared" si="12"/>
        <v/>
      </c>
      <c r="E292" s="44" t="str">
        <f>IF($C292="","",INDEX(Summary!$J$3:$J$7,MATCH($C292,TaskListLeads,FALSE),1))</f>
        <v/>
      </c>
      <c r="F292" s="50"/>
      <c r="G292" s="45" t="str">
        <f t="shared" si="13"/>
        <v/>
      </c>
      <c r="H292" s="50"/>
      <c r="I292" s="45" t="str">
        <f t="shared" si="14"/>
        <v/>
      </c>
      <c r="J292" s="41"/>
    </row>
    <row r="293" spans="2:10" ht="39.950000000000003" customHeight="1" x14ac:dyDescent="0.25">
      <c r="B293" s="41"/>
      <c r="C293" s="42"/>
      <c r="D293" s="43" t="str">
        <f t="shared" si="12"/>
        <v/>
      </c>
      <c r="E293" s="44" t="str">
        <f>IF($C293="","",INDEX(Summary!$J$3:$J$7,MATCH($C293,TaskListLeads,FALSE),1))</f>
        <v/>
      </c>
      <c r="F293" s="50"/>
      <c r="G293" s="45" t="str">
        <f t="shared" si="13"/>
        <v/>
      </c>
      <c r="H293" s="50"/>
      <c r="I293" s="45" t="str">
        <f t="shared" si="14"/>
        <v/>
      </c>
      <c r="J293" s="41"/>
    </row>
    <row r="294" spans="2:10" ht="39.950000000000003" customHeight="1" x14ac:dyDescent="0.25">
      <c r="B294" s="41"/>
      <c r="C294" s="42"/>
      <c r="D294" s="43" t="str">
        <f t="shared" si="12"/>
        <v/>
      </c>
      <c r="E294" s="44" t="str">
        <f>IF($C294="","",INDEX(Summary!$J$3:$J$7,MATCH($C294,TaskListLeads,FALSE),1))</f>
        <v/>
      </c>
      <c r="F294" s="50"/>
      <c r="G294" s="45" t="str">
        <f t="shared" si="13"/>
        <v/>
      </c>
      <c r="H294" s="50"/>
      <c r="I294" s="45" t="str">
        <f t="shared" si="14"/>
        <v/>
      </c>
      <c r="J294" s="41"/>
    </row>
    <row r="295" spans="2:10" ht="39.950000000000003" customHeight="1" x14ac:dyDescent="0.25">
      <c r="B295" s="41"/>
      <c r="C295" s="42"/>
      <c r="D295" s="43" t="str">
        <f t="shared" si="12"/>
        <v/>
      </c>
      <c r="E295" s="44" t="str">
        <f>IF($C295="","",INDEX(Summary!$J$3:$J$7,MATCH($C295,TaskListLeads,FALSE),1))</f>
        <v/>
      </c>
      <c r="F295" s="50"/>
      <c r="G295" s="45" t="str">
        <f t="shared" si="13"/>
        <v/>
      </c>
      <c r="H295" s="50"/>
      <c r="I295" s="45" t="str">
        <f t="shared" si="14"/>
        <v/>
      </c>
      <c r="J295" s="41"/>
    </row>
    <row r="296" spans="2:10" ht="39.950000000000003" customHeight="1" x14ac:dyDescent="0.25">
      <c r="B296" s="41"/>
      <c r="C296" s="42"/>
      <c r="D296" s="43" t="str">
        <f t="shared" si="12"/>
        <v/>
      </c>
      <c r="E296" s="44" t="str">
        <f>IF($C296="","",INDEX(Summary!$J$3:$J$7,MATCH($C296,TaskListLeads,FALSE),1))</f>
        <v/>
      </c>
      <c r="F296" s="50"/>
      <c r="G296" s="45" t="str">
        <f t="shared" si="13"/>
        <v/>
      </c>
      <c r="H296" s="50"/>
      <c r="I296" s="45" t="str">
        <f t="shared" si="14"/>
        <v/>
      </c>
      <c r="J296" s="41"/>
    </row>
    <row r="297" spans="2:10" ht="39.950000000000003" customHeight="1" x14ac:dyDescent="0.25">
      <c r="B297" s="41"/>
      <c r="C297" s="42"/>
      <c r="D297" s="43" t="str">
        <f t="shared" si="12"/>
        <v/>
      </c>
      <c r="E297" s="44" t="str">
        <f>IF($C297="","",INDEX(Summary!$J$3:$J$7,MATCH($C297,TaskListLeads,FALSE),1))</f>
        <v/>
      </c>
      <c r="F297" s="50"/>
      <c r="G297" s="45" t="str">
        <f t="shared" si="13"/>
        <v/>
      </c>
      <c r="H297" s="50"/>
      <c r="I297" s="45" t="str">
        <f t="shared" si="14"/>
        <v/>
      </c>
      <c r="J297" s="41"/>
    </row>
    <row r="298" spans="2:10" ht="39.950000000000003" customHeight="1" x14ac:dyDescent="0.25">
      <c r="B298" s="41"/>
      <c r="C298" s="42"/>
      <c r="D298" s="43" t="str">
        <f t="shared" si="12"/>
        <v/>
      </c>
      <c r="E298" s="44" t="str">
        <f>IF($C298="","",INDEX(Summary!$J$3:$J$7,MATCH($C298,TaskListLeads,FALSE),1))</f>
        <v/>
      </c>
      <c r="F298" s="50"/>
      <c r="G298" s="45" t="str">
        <f t="shared" si="13"/>
        <v/>
      </c>
      <c r="H298" s="50"/>
      <c r="I298" s="45" t="str">
        <f t="shared" si="14"/>
        <v/>
      </c>
      <c r="J298" s="41"/>
    </row>
    <row r="299" spans="2:10" ht="39.950000000000003" customHeight="1" x14ac:dyDescent="0.25">
      <c r="B299" s="41"/>
      <c r="C299" s="42"/>
      <c r="D299" s="43" t="str">
        <f t="shared" si="12"/>
        <v/>
      </c>
      <c r="E299" s="44" t="str">
        <f>IF($C299="","",INDEX(Summary!$J$3:$J$7,MATCH($C299,TaskListLeads,FALSE),1))</f>
        <v/>
      </c>
      <c r="F299" s="50"/>
      <c r="G299" s="45" t="str">
        <f t="shared" si="13"/>
        <v/>
      </c>
      <c r="H299" s="50"/>
      <c r="I299" s="45" t="str">
        <f t="shared" si="14"/>
        <v/>
      </c>
      <c r="J299" s="41"/>
    </row>
    <row r="300" spans="2:10" ht="39.950000000000003" customHeight="1" x14ac:dyDescent="0.25">
      <c r="B300" s="41"/>
      <c r="C300" s="42"/>
      <c r="D300" s="43" t="str">
        <f t="shared" si="12"/>
        <v/>
      </c>
      <c r="E300" s="44" t="str">
        <f>IF($C300="","",INDEX(Summary!$J$3:$J$7,MATCH($C300,TaskListLeads,FALSE),1))</f>
        <v/>
      </c>
      <c r="F300" s="50"/>
      <c r="G300" s="45" t="str">
        <f t="shared" si="13"/>
        <v/>
      </c>
      <c r="H300" s="50"/>
      <c r="I300" s="45" t="str">
        <f t="shared" si="14"/>
        <v/>
      </c>
      <c r="J300" s="41"/>
    </row>
    <row r="301" spans="2:10" ht="39.950000000000003" customHeight="1" x14ac:dyDescent="0.25">
      <c r="B301" s="41"/>
      <c r="C301" s="42"/>
      <c r="D301" s="43" t="str">
        <f t="shared" si="12"/>
        <v/>
      </c>
      <c r="E301" s="44" t="str">
        <f>IF($C301="","",INDEX(Summary!$J$3:$J$7,MATCH($C301,TaskListLeads,FALSE),1))</f>
        <v/>
      </c>
      <c r="F301" s="50"/>
      <c r="G301" s="45" t="str">
        <f t="shared" si="13"/>
        <v/>
      </c>
      <c r="H301" s="50"/>
      <c r="I301" s="45" t="str">
        <f t="shared" si="14"/>
        <v/>
      </c>
      <c r="J301" s="41"/>
    </row>
    <row r="302" spans="2:10" ht="39.950000000000003" customHeight="1" x14ac:dyDescent="0.25">
      <c r="B302" s="41"/>
      <c r="C302" s="42"/>
      <c r="D302" s="43" t="str">
        <f t="shared" si="12"/>
        <v/>
      </c>
      <c r="E302" s="44" t="str">
        <f>IF($C302="","",INDEX(Summary!$J$3:$J$7,MATCH($C302,TaskListLeads,FALSE),1))</f>
        <v/>
      </c>
      <c r="F302" s="50"/>
      <c r="G302" s="45" t="str">
        <f t="shared" si="13"/>
        <v/>
      </c>
      <c r="H302" s="50"/>
      <c r="I302" s="45" t="str">
        <f t="shared" si="14"/>
        <v/>
      </c>
      <c r="J302" s="41"/>
    </row>
    <row r="303" spans="2:10" ht="39.950000000000003" customHeight="1" x14ac:dyDescent="0.25">
      <c r="B303" s="41"/>
      <c r="C303" s="42"/>
      <c r="D303" s="43" t="str">
        <f t="shared" si="12"/>
        <v/>
      </c>
      <c r="E303" s="44" t="str">
        <f>IF($C303="","",INDEX(Summary!$J$3:$J$7,MATCH($C303,TaskListLeads,FALSE),1))</f>
        <v/>
      </c>
      <c r="F303" s="50"/>
      <c r="G303" s="45" t="str">
        <f t="shared" si="13"/>
        <v/>
      </c>
      <c r="H303" s="50"/>
      <c r="I303" s="45" t="str">
        <f t="shared" si="14"/>
        <v/>
      </c>
      <c r="J303" s="41"/>
    </row>
    <row r="304" spans="2:10" ht="39.950000000000003" customHeight="1" x14ac:dyDescent="0.25">
      <c r="B304" s="41"/>
      <c r="C304" s="42"/>
      <c r="D304" s="43" t="str">
        <f t="shared" si="12"/>
        <v/>
      </c>
      <c r="E304" s="44" t="str">
        <f>IF($C304="","",INDEX(Summary!$J$3:$J$7,MATCH($C304,TaskListLeads,FALSE),1))</f>
        <v/>
      </c>
      <c r="F304" s="50"/>
      <c r="G304" s="45" t="str">
        <f t="shared" si="13"/>
        <v/>
      </c>
      <c r="H304" s="50"/>
      <c r="I304" s="45" t="str">
        <f t="shared" si="14"/>
        <v/>
      </c>
      <c r="J304" s="41"/>
    </row>
    <row r="305" spans="2:10" ht="39.950000000000003" customHeight="1" x14ac:dyDescent="0.25">
      <c r="B305" s="41"/>
      <c r="C305" s="42"/>
      <c r="D305" s="43" t="str">
        <f t="shared" si="12"/>
        <v/>
      </c>
      <c r="E305" s="44" t="str">
        <f>IF($C305="","",INDEX(Summary!$J$3:$J$7,MATCH($C305,TaskListLeads,FALSE),1))</f>
        <v/>
      </c>
      <c r="F305" s="50"/>
      <c r="G305" s="45" t="str">
        <f t="shared" si="13"/>
        <v/>
      </c>
      <c r="H305" s="50"/>
      <c r="I305" s="45" t="str">
        <f t="shared" si="14"/>
        <v/>
      </c>
      <c r="J305" s="41"/>
    </row>
    <row r="306" spans="2:10" ht="39.950000000000003" customHeight="1" x14ac:dyDescent="0.25">
      <c r="B306" s="41"/>
      <c r="C306" s="42"/>
      <c r="D306" s="43" t="str">
        <f t="shared" si="12"/>
        <v/>
      </c>
      <c r="E306" s="44" t="str">
        <f>IF($C306="","",INDEX(Summary!$J$3:$J$7,MATCH($C306,TaskListLeads,FALSE),1))</f>
        <v/>
      </c>
      <c r="F306" s="50"/>
      <c r="G306" s="45" t="str">
        <f t="shared" si="13"/>
        <v/>
      </c>
      <c r="H306" s="50"/>
      <c r="I306" s="45" t="str">
        <f t="shared" si="14"/>
        <v/>
      </c>
      <c r="J306" s="41"/>
    </row>
    <row r="307" spans="2:10" ht="39.950000000000003" customHeight="1" x14ac:dyDescent="0.25">
      <c r="B307" s="41"/>
      <c r="C307" s="42"/>
      <c r="D307" s="43" t="str">
        <f t="shared" si="12"/>
        <v/>
      </c>
      <c r="E307" s="44" t="str">
        <f>IF($C307="","",INDEX(Summary!$J$3:$J$7,MATCH($C307,TaskListLeads,FALSE),1))</f>
        <v/>
      </c>
      <c r="F307" s="50"/>
      <c r="G307" s="45" t="str">
        <f t="shared" si="13"/>
        <v/>
      </c>
      <c r="H307" s="50"/>
      <c r="I307" s="45" t="str">
        <f t="shared" si="14"/>
        <v/>
      </c>
      <c r="J307" s="41"/>
    </row>
    <row r="308" spans="2:10" ht="39.950000000000003" customHeight="1" x14ac:dyDescent="0.25">
      <c r="B308" s="41"/>
      <c r="C308" s="42"/>
      <c r="D308" s="43" t="str">
        <f t="shared" si="12"/>
        <v/>
      </c>
      <c r="E308" s="44" t="str">
        <f>IF($C308="","",INDEX(Summary!$J$3:$J$7,MATCH($C308,TaskListLeads,FALSE),1))</f>
        <v/>
      </c>
      <c r="F308" s="50"/>
      <c r="G308" s="45" t="str">
        <f t="shared" si="13"/>
        <v/>
      </c>
      <c r="H308" s="50"/>
      <c r="I308" s="45" t="str">
        <f t="shared" si="14"/>
        <v/>
      </c>
      <c r="J308" s="41"/>
    </row>
    <row r="309" spans="2:10" ht="39.950000000000003" customHeight="1" x14ac:dyDescent="0.25">
      <c r="B309" s="41"/>
      <c r="C309" s="42"/>
      <c r="D309" s="43" t="str">
        <f t="shared" si="12"/>
        <v/>
      </c>
      <c r="E309" s="44" t="str">
        <f>IF($C309="","",INDEX(Summary!$J$3:$J$7,MATCH($C309,TaskListLeads,FALSE),1))</f>
        <v/>
      </c>
      <c r="F309" s="50"/>
      <c r="G309" s="45" t="str">
        <f t="shared" si="13"/>
        <v/>
      </c>
      <c r="H309" s="50"/>
      <c r="I309" s="45" t="str">
        <f t="shared" si="14"/>
        <v/>
      </c>
      <c r="J309" s="41"/>
    </row>
    <row r="310" spans="2:10" ht="39.950000000000003" customHeight="1" x14ac:dyDescent="0.25">
      <c r="B310" s="41"/>
      <c r="C310" s="42"/>
      <c r="D310" s="43" t="str">
        <f t="shared" si="12"/>
        <v/>
      </c>
      <c r="E310" s="44" t="str">
        <f>IF($C310="","",INDEX(Summary!$J$3:$J$7,MATCH($C310,TaskListLeads,FALSE),1))</f>
        <v/>
      </c>
      <c r="F310" s="50"/>
      <c r="G310" s="45" t="str">
        <f t="shared" si="13"/>
        <v/>
      </c>
      <c r="H310" s="50"/>
      <c r="I310" s="45" t="str">
        <f t="shared" si="14"/>
        <v/>
      </c>
      <c r="J310" s="41"/>
    </row>
    <row r="311" spans="2:10" ht="39.950000000000003" customHeight="1" x14ac:dyDescent="0.25">
      <c r="B311" s="41"/>
      <c r="C311" s="42"/>
      <c r="D311" s="43" t="str">
        <f t="shared" si="12"/>
        <v/>
      </c>
      <c r="E311" s="44" t="str">
        <f>IF($C311="","",INDEX(Summary!$J$3:$J$7,MATCH($C311,TaskListLeads,FALSE),1))</f>
        <v/>
      </c>
      <c r="F311" s="50"/>
      <c r="G311" s="45" t="str">
        <f t="shared" si="13"/>
        <v/>
      </c>
      <c r="H311" s="50"/>
      <c r="I311" s="45" t="str">
        <f t="shared" si="14"/>
        <v/>
      </c>
      <c r="J311" s="41"/>
    </row>
    <row r="312" spans="2:10" ht="39.950000000000003" customHeight="1" x14ac:dyDescent="0.25">
      <c r="B312" s="41"/>
      <c r="C312" s="42"/>
      <c r="D312" s="43" t="str">
        <f t="shared" si="12"/>
        <v/>
      </c>
      <c r="E312" s="44" t="str">
        <f>IF($C312="","",INDEX(Summary!$J$3:$J$7,MATCH($C312,TaskListLeads,FALSE),1))</f>
        <v/>
      </c>
      <c r="F312" s="50"/>
      <c r="G312" s="45" t="str">
        <f t="shared" si="13"/>
        <v/>
      </c>
      <c r="H312" s="50"/>
      <c r="I312" s="45" t="str">
        <f t="shared" si="14"/>
        <v/>
      </c>
      <c r="J312" s="41"/>
    </row>
    <row r="313" spans="2:10" ht="39.950000000000003" customHeight="1" x14ac:dyDescent="0.25">
      <c r="B313" s="41"/>
      <c r="C313" s="42"/>
      <c r="D313" s="43" t="str">
        <f t="shared" si="12"/>
        <v/>
      </c>
      <c r="E313" s="44" t="str">
        <f>IF($C313="","",INDEX(Summary!$J$3:$J$7,MATCH($C313,TaskListLeads,FALSE),1))</f>
        <v/>
      </c>
      <c r="F313" s="50"/>
      <c r="G313" s="45" t="str">
        <f t="shared" si="13"/>
        <v/>
      </c>
      <c r="H313" s="50"/>
      <c r="I313" s="45" t="str">
        <f t="shared" si="14"/>
        <v/>
      </c>
      <c r="J313" s="41"/>
    </row>
    <row r="314" spans="2:10" ht="39.950000000000003" customHeight="1" x14ac:dyDescent="0.25">
      <c r="B314" s="41"/>
      <c r="C314" s="42"/>
      <c r="D314" s="43" t="str">
        <f t="shared" si="12"/>
        <v/>
      </c>
      <c r="E314" s="44" t="str">
        <f>IF($C314="","",INDEX(Summary!$J$3:$J$7,MATCH($C314,TaskListLeads,FALSE),1))</f>
        <v/>
      </c>
      <c r="F314" s="50"/>
      <c r="G314" s="45" t="str">
        <f t="shared" si="13"/>
        <v/>
      </c>
      <c r="H314" s="50"/>
      <c r="I314" s="45" t="str">
        <f t="shared" si="14"/>
        <v/>
      </c>
      <c r="J314" s="41"/>
    </row>
    <row r="315" spans="2:10" ht="39.950000000000003" customHeight="1" x14ac:dyDescent="0.25">
      <c r="B315" s="41"/>
      <c r="C315" s="42"/>
      <c r="D315" s="43" t="str">
        <f t="shared" si="12"/>
        <v/>
      </c>
      <c r="E315" s="44" t="str">
        <f>IF($C315="","",INDEX(Summary!$J$3:$J$7,MATCH($C315,TaskListLeads,FALSE),1))</f>
        <v/>
      </c>
      <c r="F315" s="50"/>
      <c r="G315" s="45" t="str">
        <f t="shared" si="13"/>
        <v/>
      </c>
      <c r="H315" s="50"/>
      <c r="I315" s="45" t="str">
        <f t="shared" si="14"/>
        <v/>
      </c>
      <c r="J315" s="41"/>
    </row>
    <row r="316" spans="2:10" ht="39.950000000000003" customHeight="1" x14ac:dyDescent="0.25">
      <c r="B316" s="41"/>
      <c r="C316" s="42"/>
      <c r="D316" s="43" t="str">
        <f t="shared" si="12"/>
        <v/>
      </c>
      <c r="E316" s="44" t="str">
        <f>IF($C316="","",INDEX(Summary!$J$3:$J$7,MATCH($C316,TaskListLeads,FALSE),1))</f>
        <v/>
      </c>
      <c r="F316" s="50"/>
      <c r="G316" s="45" t="str">
        <f t="shared" si="13"/>
        <v/>
      </c>
      <c r="H316" s="50"/>
      <c r="I316" s="45" t="str">
        <f t="shared" si="14"/>
        <v/>
      </c>
      <c r="J316" s="41"/>
    </row>
    <row r="317" spans="2:10" ht="39.950000000000003" customHeight="1" x14ac:dyDescent="0.25">
      <c r="B317" s="41"/>
      <c r="C317" s="42"/>
      <c r="D317" s="43" t="str">
        <f t="shared" si="12"/>
        <v/>
      </c>
      <c r="E317" s="44" t="str">
        <f>IF($C317="","",INDEX(Summary!$J$3:$J$7,MATCH($C317,TaskListLeads,FALSE),1))</f>
        <v/>
      </c>
      <c r="F317" s="50"/>
      <c r="G317" s="45" t="str">
        <f t="shared" si="13"/>
        <v/>
      </c>
      <c r="H317" s="50"/>
      <c r="I317" s="45" t="str">
        <f t="shared" si="14"/>
        <v/>
      </c>
      <c r="J317" s="41"/>
    </row>
    <row r="318" spans="2:10" ht="39.950000000000003" customHeight="1" x14ac:dyDescent="0.25">
      <c r="B318" s="41"/>
      <c r="C318" s="42"/>
      <c r="D318" s="43" t="str">
        <f t="shared" si="12"/>
        <v/>
      </c>
      <c r="E318" s="44" t="str">
        <f>IF($C318="","",INDEX(Summary!$J$3:$J$7,MATCH($C318,TaskListLeads,FALSE),1))</f>
        <v/>
      </c>
      <c r="F318" s="50"/>
      <c r="G318" s="45" t="str">
        <f t="shared" si="13"/>
        <v/>
      </c>
      <c r="H318" s="50"/>
      <c r="I318" s="45" t="str">
        <f t="shared" si="14"/>
        <v/>
      </c>
      <c r="J318" s="41"/>
    </row>
    <row r="319" spans="2:10" ht="39.950000000000003" customHeight="1" x14ac:dyDescent="0.25">
      <c r="B319" s="41"/>
      <c r="C319" s="42"/>
      <c r="D319" s="43" t="str">
        <f t="shared" si="12"/>
        <v/>
      </c>
      <c r="E319" s="44" t="str">
        <f>IF($C319="","",INDEX(Summary!$J$3:$J$7,MATCH($C319,TaskListLeads,FALSE),1))</f>
        <v/>
      </c>
      <c r="F319" s="50"/>
      <c r="G319" s="45" t="str">
        <f t="shared" si="13"/>
        <v/>
      </c>
      <c r="H319" s="50"/>
      <c r="I319" s="45" t="str">
        <f t="shared" si="14"/>
        <v/>
      </c>
      <c r="J319" s="41"/>
    </row>
    <row r="320" spans="2:10" ht="39.950000000000003" customHeight="1" x14ac:dyDescent="0.25">
      <c r="B320" s="41"/>
      <c r="C320" s="42"/>
      <c r="D320" s="43" t="str">
        <f t="shared" si="12"/>
        <v/>
      </c>
      <c r="E320" s="44" t="str">
        <f>IF($C320="","",INDEX(Summary!$J$3:$J$7,MATCH($C320,TaskListLeads,FALSE),1))</f>
        <v/>
      </c>
      <c r="F320" s="50"/>
      <c r="G320" s="45" t="str">
        <f t="shared" si="13"/>
        <v/>
      </c>
      <c r="H320" s="50"/>
      <c r="I320" s="45" t="str">
        <f t="shared" si="14"/>
        <v/>
      </c>
      <c r="J320" s="41"/>
    </row>
    <row r="321" spans="2:10" ht="39.950000000000003" customHeight="1" x14ac:dyDescent="0.25">
      <c r="B321" s="41"/>
      <c r="C321" s="42"/>
      <c r="D321" s="43" t="str">
        <f t="shared" si="12"/>
        <v/>
      </c>
      <c r="E321" s="44" t="str">
        <f>IF($C321="","",INDEX(Summary!$J$3:$J$7,MATCH($C321,TaskListLeads,FALSE),1))</f>
        <v/>
      </c>
      <c r="F321" s="50"/>
      <c r="G321" s="45" t="str">
        <f t="shared" si="13"/>
        <v/>
      </c>
      <c r="H321" s="50"/>
      <c r="I321" s="45" t="str">
        <f t="shared" si="14"/>
        <v/>
      </c>
      <c r="J321" s="41"/>
    </row>
    <row r="322" spans="2:10" ht="39.950000000000003" customHeight="1" x14ac:dyDescent="0.25">
      <c r="B322" s="41"/>
      <c r="C322" s="42"/>
      <c r="D322" s="43" t="str">
        <f t="shared" si="12"/>
        <v/>
      </c>
      <c r="E322" s="44" t="str">
        <f>IF($C322="","",INDEX(Summary!$J$3:$J$7,MATCH($C322,TaskListLeads,FALSE),1))</f>
        <v/>
      </c>
      <c r="F322" s="50"/>
      <c r="G322" s="45" t="str">
        <f t="shared" si="13"/>
        <v/>
      </c>
      <c r="H322" s="50"/>
      <c r="I322" s="45" t="str">
        <f t="shared" si="14"/>
        <v/>
      </c>
      <c r="J322" s="41"/>
    </row>
    <row r="323" spans="2:10" ht="39.950000000000003" customHeight="1" x14ac:dyDescent="0.25">
      <c r="B323" s="41"/>
      <c r="C323" s="42"/>
      <c r="D323" s="43" t="str">
        <f t="shared" si="12"/>
        <v/>
      </c>
      <c r="E323" s="44" t="str">
        <f>IF($C323="","",INDEX(Summary!$J$3:$J$7,MATCH($C323,TaskListLeads,FALSE),1))</f>
        <v/>
      </c>
      <c r="F323" s="50"/>
      <c r="G323" s="45" t="str">
        <f t="shared" si="13"/>
        <v/>
      </c>
      <c r="H323" s="50"/>
      <c r="I323" s="45" t="str">
        <f t="shared" si="14"/>
        <v/>
      </c>
      <c r="J323" s="41"/>
    </row>
    <row r="324" spans="2:10" ht="39.950000000000003" customHeight="1" x14ac:dyDescent="0.25">
      <c r="B324" s="41"/>
      <c r="C324" s="42"/>
      <c r="D324" s="43" t="str">
        <f t="shared" si="12"/>
        <v/>
      </c>
      <c r="E324" s="44" t="str">
        <f>IF($C324="","",INDEX(Summary!$J$3:$J$7,MATCH($C324,TaskListLeads,FALSE),1))</f>
        <v/>
      </c>
      <c r="F324" s="50"/>
      <c r="G324" s="45" t="str">
        <f t="shared" si="13"/>
        <v/>
      </c>
      <c r="H324" s="50"/>
      <c r="I324" s="45" t="str">
        <f t="shared" si="14"/>
        <v/>
      </c>
      <c r="J324" s="41"/>
    </row>
    <row r="325" spans="2:10" ht="39.950000000000003" customHeight="1" x14ac:dyDescent="0.25">
      <c r="B325" s="41"/>
      <c r="C325" s="42"/>
      <c r="D325" s="43" t="str">
        <f t="shared" si="12"/>
        <v/>
      </c>
      <c r="E325" s="44" t="str">
        <f>IF($C325="","",INDEX(Summary!$J$3:$J$7,MATCH($C325,TaskListLeads,FALSE),1))</f>
        <v/>
      </c>
      <c r="F325" s="50"/>
      <c r="G325" s="45" t="str">
        <f t="shared" si="13"/>
        <v/>
      </c>
      <c r="H325" s="50"/>
      <c r="I325" s="45" t="str">
        <f t="shared" si="14"/>
        <v/>
      </c>
      <c r="J325" s="41"/>
    </row>
    <row r="326" spans="2:10" ht="39.950000000000003" customHeight="1" x14ac:dyDescent="0.25">
      <c r="B326" s="41"/>
      <c r="C326" s="42"/>
      <c r="D326" s="43" t="str">
        <f t="shared" si="12"/>
        <v/>
      </c>
      <c r="E326" s="44" t="str">
        <f>IF($C326="","",INDEX(Summary!$J$3:$J$7,MATCH($C326,TaskListLeads,FALSE),1))</f>
        <v/>
      </c>
      <c r="F326" s="50"/>
      <c r="G326" s="45" t="str">
        <f t="shared" si="13"/>
        <v/>
      </c>
      <c r="H326" s="50"/>
      <c r="I326" s="45" t="str">
        <f t="shared" si="14"/>
        <v/>
      </c>
      <c r="J326" s="41"/>
    </row>
    <row r="327" spans="2:10" ht="39.950000000000003" customHeight="1" x14ac:dyDescent="0.25">
      <c r="B327" s="41"/>
      <c r="C327" s="42"/>
      <c r="D327" s="43" t="str">
        <f t="shared" si="12"/>
        <v/>
      </c>
      <c r="E327" s="44" t="str">
        <f>IF($C327="","",INDEX(Summary!$J$3:$J$7,MATCH($C327,TaskListLeads,FALSE),1))</f>
        <v/>
      </c>
      <c r="F327" s="50"/>
      <c r="G327" s="45" t="str">
        <f t="shared" si="13"/>
        <v/>
      </c>
      <c r="H327" s="50"/>
      <c r="I327" s="45" t="str">
        <f t="shared" si="14"/>
        <v/>
      </c>
      <c r="J327" s="41"/>
    </row>
    <row r="328" spans="2:10" ht="39.950000000000003" customHeight="1" x14ac:dyDescent="0.25">
      <c r="B328" s="41"/>
      <c r="C328" s="42"/>
      <c r="D328" s="43" t="str">
        <f t="shared" si="12"/>
        <v/>
      </c>
      <c r="E328" s="44" t="str">
        <f>IF($C328="","",INDEX(Summary!$J$3:$J$7,MATCH($C328,TaskListLeads,FALSE),1))</f>
        <v/>
      </c>
      <c r="F328" s="50"/>
      <c r="G328" s="45" t="str">
        <f t="shared" si="13"/>
        <v/>
      </c>
      <c r="H328" s="50"/>
      <c r="I328" s="45" t="str">
        <f t="shared" si="14"/>
        <v/>
      </c>
      <c r="J328" s="41"/>
    </row>
    <row r="329" spans="2:10" ht="39.950000000000003" customHeight="1" x14ac:dyDescent="0.25">
      <c r="B329" s="41"/>
      <c r="C329" s="42"/>
      <c r="D329" s="43" t="str">
        <f t="shared" si="12"/>
        <v/>
      </c>
      <c r="E329" s="44" t="str">
        <f>IF($C329="","",INDEX(Summary!$J$3:$J$7,MATCH($C329,TaskListLeads,FALSE),1))</f>
        <v/>
      </c>
      <c r="F329" s="50"/>
      <c r="G329" s="45" t="str">
        <f t="shared" si="13"/>
        <v/>
      </c>
      <c r="H329" s="50"/>
      <c r="I329" s="45" t="str">
        <f t="shared" si="14"/>
        <v/>
      </c>
      <c r="J329" s="41"/>
    </row>
    <row r="330" spans="2:10" ht="39.950000000000003" customHeight="1" x14ac:dyDescent="0.25">
      <c r="B330" s="41"/>
      <c r="C330" s="42"/>
      <c r="D330" s="43" t="str">
        <f t="shared" si="12"/>
        <v/>
      </c>
      <c r="E330" s="44" t="str">
        <f>IF($C330="","",INDEX(Summary!$J$3:$J$7,MATCH($C330,TaskListLeads,FALSE),1))</f>
        <v/>
      </c>
      <c r="F330" s="50"/>
      <c r="G330" s="45" t="str">
        <f t="shared" si="13"/>
        <v/>
      </c>
      <c r="H330" s="50"/>
      <c r="I330" s="45" t="str">
        <f t="shared" si="14"/>
        <v/>
      </c>
      <c r="J330" s="41"/>
    </row>
    <row r="331" spans="2:10" ht="39.950000000000003" customHeight="1" x14ac:dyDescent="0.25">
      <c r="B331" s="41"/>
      <c r="C331" s="42"/>
      <c r="D331" s="43" t="str">
        <f t="shared" ref="D331:D394" si="15">IF($C331="","",INDEX(TaskListCostCentres,MATCH($C331,TaskListLeads,FALSE),1))</f>
        <v/>
      </c>
      <c r="E331" s="44" t="str">
        <f>IF($C331="","",INDEX(Summary!$J$3:$J$7,MATCH($C331,TaskListLeads,FALSE),1))</f>
        <v/>
      </c>
      <c r="F331" s="50"/>
      <c r="G331" s="45" t="str">
        <f t="shared" ref="G331:G394" si="16">IF($F331="","",INDEX(ControlWeeksOf,MATCH($F331,ControlWeeksOf,TRUE),1))</f>
        <v/>
      </c>
      <c r="H331" s="50"/>
      <c r="I331" s="45" t="str">
        <f t="shared" ref="I331:I394" si="17">IF($H331="","",INDEX(ControlWeeksOf,MATCH($H331,ControlWeeksOf,TRUE),1))</f>
        <v/>
      </c>
      <c r="J331" s="41"/>
    </row>
    <row r="332" spans="2:10" ht="39.950000000000003" customHeight="1" x14ac:dyDescent="0.25">
      <c r="B332" s="41"/>
      <c r="C332" s="42"/>
      <c r="D332" s="43" t="str">
        <f t="shared" si="15"/>
        <v/>
      </c>
      <c r="E332" s="44" t="str">
        <f>IF($C332="","",INDEX(Summary!$J$3:$J$7,MATCH($C332,TaskListLeads,FALSE),1))</f>
        <v/>
      </c>
      <c r="F332" s="50"/>
      <c r="G332" s="45" t="str">
        <f t="shared" si="16"/>
        <v/>
      </c>
      <c r="H332" s="50"/>
      <c r="I332" s="45" t="str">
        <f t="shared" si="17"/>
        <v/>
      </c>
      <c r="J332" s="41"/>
    </row>
    <row r="333" spans="2:10" ht="39.950000000000003" customHeight="1" x14ac:dyDescent="0.25">
      <c r="B333" s="41"/>
      <c r="C333" s="42"/>
      <c r="D333" s="43" t="str">
        <f t="shared" si="15"/>
        <v/>
      </c>
      <c r="E333" s="44" t="str">
        <f>IF($C333="","",INDEX(Summary!$J$3:$J$7,MATCH($C333,TaskListLeads,FALSE),1))</f>
        <v/>
      </c>
      <c r="F333" s="50"/>
      <c r="G333" s="45" t="str">
        <f t="shared" si="16"/>
        <v/>
      </c>
      <c r="H333" s="50"/>
      <c r="I333" s="45" t="str">
        <f t="shared" si="17"/>
        <v/>
      </c>
      <c r="J333" s="41"/>
    </row>
    <row r="334" spans="2:10" ht="39.950000000000003" customHeight="1" x14ac:dyDescent="0.25">
      <c r="B334" s="41"/>
      <c r="C334" s="42"/>
      <c r="D334" s="43" t="str">
        <f t="shared" si="15"/>
        <v/>
      </c>
      <c r="E334" s="44" t="str">
        <f>IF($C334="","",INDEX(Summary!$J$3:$J$7,MATCH($C334,TaskListLeads,FALSE),1))</f>
        <v/>
      </c>
      <c r="F334" s="50"/>
      <c r="G334" s="45" t="str">
        <f t="shared" si="16"/>
        <v/>
      </c>
      <c r="H334" s="50"/>
      <c r="I334" s="45" t="str">
        <f t="shared" si="17"/>
        <v/>
      </c>
      <c r="J334" s="41"/>
    </row>
    <row r="335" spans="2:10" ht="39.950000000000003" customHeight="1" x14ac:dyDescent="0.25">
      <c r="B335" s="41"/>
      <c r="C335" s="42"/>
      <c r="D335" s="43" t="str">
        <f t="shared" si="15"/>
        <v/>
      </c>
      <c r="E335" s="44" t="str">
        <f>IF($C335="","",INDEX(Summary!$J$3:$J$7,MATCH($C335,TaskListLeads,FALSE),1))</f>
        <v/>
      </c>
      <c r="F335" s="50"/>
      <c r="G335" s="45" t="str">
        <f t="shared" si="16"/>
        <v/>
      </c>
      <c r="H335" s="50"/>
      <c r="I335" s="45" t="str">
        <f t="shared" si="17"/>
        <v/>
      </c>
      <c r="J335" s="41"/>
    </row>
    <row r="336" spans="2:10" ht="39.950000000000003" customHeight="1" x14ac:dyDescent="0.25">
      <c r="B336" s="41"/>
      <c r="C336" s="42"/>
      <c r="D336" s="43" t="str">
        <f t="shared" si="15"/>
        <v/>
      </c>
      <c r="E336" s="44" t="str">
        <f>IF($C336="","",INDEX(Summary!$J$3:$J$7,MATCH($C336,TaskListLeads,FALSE),1))</f>
        <v/>
      </c>
      <c r="F336" s="50"/>
      <c r="G336" s="45" t="str">
        <f t="shared" si="16"/>
        <v/>
      </c>
      <c r="H336" s="50"/>
      <c r="I336" s="45" t="str">
        <f t="shared" si="17"/>
        <v/>
      </c>
      <c r="J336" s="41"/>
    </row>
    <row r="337" spans="2:10" ht="39.950000000000003" customHeight="1" x14ac:dyDescent="0.25">
      <c r="B337" s="41"/>
      <c r="C337" s="42"/>
      <c r="D337" s="43" t="str">
        <f t="shared" si="15"/>
        <v/>
      </c>
      <c r="E337" s="44" t="str">
        <f>IF($C337="","",INDEX(Summary!$J$3:$J$7,MATCH($C337,TaskListLeads,FALSE),1))</f>
        <v/>
      </c>
      <c r="F337" s="50"/>
      <c r="G337" s="45" t="str">
        <f t="shared" si="16"/>
        <v/>
      </c>
      <c r="H337" s="50"/>
      <c r="I337" s="45" t="str">
        <f t="shared" si="17"/>
        <v/>
      </c>
      <c r="J337" s="41"/>
    </row>
    <row r="338" spans="2:10" ht="39.950000000000003" customHeight="1" x14ac:dyDescent="0.25">
      <c r="B338" s="41"/>
      <c r="C338" s="42"/>
      <c r="D338" s="43" t="str">
        <f t="shared" si="15"/>
        <v/>
      </c>
      <c r="E338" s="44" t="str">
        <f>IF($C338="","",INDEX(Summary!$J$3:$J$7,MATCH($C338,TaskListLeads,FALSE),1))</f>
        <v/>
      </c>
      <c r="F338" s="50"/>
      <c r="G338" s="45" t="str">
        <f t="shared" si="16"/>
        <v/>
      </c>
      <c r="H338" s="50"/>
      <c r="I338" s="45" t="str">
        <f t="shared" si="17"/>
        <v/>
      </c>
      <c r="J338" s="41"/>
    </row>
    <row r="339" spans="2:10" ht="39.950000000000003" customHeight="1" x14ac:dyDescent="0.25">
      <c r="B339" s="41"/>
      <c r="C339" s="42"/>
      <c r="D339" s="43" t="str">
        <f t="shared" si="15"/>
        <v/>
      </c>
      <c r="E339" s="44" t="str">
        <f>IF($C339="","",INDEX(Summary!$J$3:$J$7,MATCH($C339,TaskListLeads,FALSE),1))</f>
        <v/>
      </c>
      <c r="F339" s="50"/>
      <c r="G339" s="45" t="str">
        <f t="shared" si="16"/>
        <v/>
      </c>
      <c r="H339" s="50"/>
      <c r="I339" s="45" t="str">
        <f t="shared" si="17"/>
        <v/>
      </c>
      <c r="J339" s="41"/>
    </row>
    <row r="340" spans="2:10" ht="39.950000000000003" customHeight="1" x14ac:dyDescent="0.25">
      <c r="B340" s="41"/>
      <c r="C340" s="42"/>
      <c r="D340" s="43" t="str">
        <f t="shared" si="15"/>
        <v/>
      </c>
      <c r="E340" s="44" t="str">
        <f>IF($C340="","",INDEX(Summary!$J$3:$J$7,MATCH($C340,TaskListLeads,FALSE),1))</f>
        <v/>
      </c>
      <c r="F340" s="50"/>
      <c r="G340" s="45" t="str">
        <f t="shared" si="16"/>
        <v/>
      </c>
      <c r="H340" s="50"/>
      <c r="I340" s="45" t="str">
        <f t="shared" si="17"/>
        <v/>
      </c>
      <c r="J340" s="41"/>
    </row>
    <row r="341" spans="2:10" ht="39.950000000000003" customHeight="1" x14ac:dyDescent="0.25">
      <c r="B341" s="41"/>
      <c r="C341" s="42"/>
      <c r="D341" s="43" t="str">
        <f t="shared" si="15"/>
        <v/>
      </c>
      <c r="E341" s="44" t="str">
        <f>IF($C341="","",INDEX(Summary!$J$3:$J$7,MATCH($C341,TaskListLeads,FALSE),1))</f>
        <v/>
      </c>
      <c r="F341" s="50"/>
      <c r="G341" s="45" t="str">
        <f t="shared" si="16"/>
        <v/>
      </c>
      <c r="H341" s="50"/>
      <c r="I341" s="45" t="str">
        <f t="shared" si="17"/>
        <v/>
      </c>
      <c r="J341" s="41"/>
    </row>
    <row r="342" spans="2:10" ht="39.950000000000003" customHeight="1" x14ac:dyDescent="0.25">
      <c r="B342" s="41"/>
      <c r="C342" s="42"/>
      <c r="D342" s="43" t="str">
        <f t="shared" si="15"/>
        <v/>
      </c>
      <c r="E342" s="44" t="str">
        <f>IF($C342="","",INDEX(Summary!$J$3:$J$7,MATCH($C342,TaskListLeads,FALSE),1))</f>
        <v/>
      </c>
      <c r="F342" s="50"/>
      <c r="G342" s="45" t="str">
        <f t="shared" si="16"/>
        <v/>
      </c>
      <c r="H342" s="50"/>
      <c r="I342" s="45" t="str">
        <f t="shared" si="17"/>
        <v/>
      </c>
      <c r="J342" s="41"/>
    </row>
    <row r="343" spans="2:10" ht="39.950000000000003" customHeight="1" x14ac:dyDescent="0.25">
      <c r="B343" s="41"/>
      <c r="C343" s="42"/>
      <c r="D343" s="43" t="str">
        <f t="shared" si="15"/>
        <v/>
      </c>
      <c r="E343" s="44" t="str">
        <f>IF($C343="","",INDEX(Summary!$J$3:$J$7,MATCH($C343,TaskListLeads,FALSE),1))</f>
        <v/>
      </c>
      <c r="F343" s="50"/>
      <c r="G343" s="45" t="str">
        <f t="shared" si="16"/>
        <v/>
      </c>
      <c r="H343" s="50"/>
      <c r="I343" s="45" t="str">
        <f t="shared" si="17"/>
        <v/>
      </c>
      <c r="J343" s="41"/>
    </row>
    <row r="344" spans="2:10" ht="39.950000000000003" customHeight="1" x14ac:dyDescent="0.25">
      <c r="B344" s="41"/>
      <c r="C344" s="42"/>
      <c r="D344" s="43" t="str">
        <f t="shared" si="15"/>
        <v/>
      </c>
      <c r="E344" s="44" t="str">
        <f>IF($C344="","",INDEX(Summary!$J$3:$J$7,MATCH($C344,TaskListLeads,FALSE),1))</f>
        <v/>
      </c>
      <c r="F344" s="50"/>
      <c r="G344" s="45" t="str">
        <f t="shared" si="16"/>
        <v/>
      </c>
      <c r="H344" s="50"/>
      <c r="I344" s="45" t="str">
        <f t="shared" si="17"/>
        <v/>
      </c>
      <c r="J344" s="41"/>
    </row>
    <row r="345" spans="2:10" ht="39.950000000000003" customHeight="1" x14ac:dyDescent="0.25">
      <c r="B345" s="41"/>
      <c r="C345" s="42"/>
      <c r="D345" s="43" t="str">
        <f t="shared" si="15"/>
        <v/>
      </c>
      <c r="E345" s="44" t="str">
        <f>IF($C345="","",INDEX(Summary!$J$3:$J$7,MATCH($C345,TaskListLeads,FALSE),1))</f>
        <v/>
      </c>
      <c r="F345" s="50"/>
      <c r="G345" s="45" t="str">
        <f t="shared" si="16"/>
        <v/>
      </c>
      <c r="H345" s="50"/>
      <c r="I345" s="45" t="str">
        <f t="shared" si="17"/>
        <v/>
      </c>
      <c r="J345" s="41"/>
    </row>
    <row r="346" spans="2:10" ht="39.950000000000003" customHeight="1" x14ac:dyDescent="0.25">
      <c r="B346" s="41"/>
      <c r="C346" s="42"/>
      <c r="D346" s="43" t="str">
        <f t="shared" si="15"/>
        <v/>
      </c>
      <c r="E346" s="44" t="str">
        <f>IF($C346="","",INDEX(Summary!$J$3:$J$7,MATCH($C346,TaskListLeads,FALSE),1))</f>
        <v/>
      </c>
      <c r="F346" s="50"/>
      <c r="G346" s="45" t="str">
        <f t="shared" si="16"/>
        <v/>
      </c>
      <c r="H346" s="50"/>
      <c r="I346" s="45" t="str">
        <f t="shared" si="17"/>
        <v/>
      </c>
      <c r="J346" s="41"/>
    </row>
    <row r="347" spans="2:10" ht="39.950000000000003" customHeight="1" x14ac:dyDescent="0.25">
      <c r="B347" s="41"/>
      <c r="C347" s="42"/>
      <c r="D347" s="43" t="str">
        <f t="shared" si="15"/>
        <v/>
      </c>
      <c r="E347" s="44" t="str">
        <f>IF($C347="","",INDEX(Summary!$J$3:$J$7,MATCH($C347,TaskListLeads,FALSE),1))</f>
        <v/>
      </c>
      <c r="F347" s="50"/>
      <c r="G347" s="45" t="str">
        <f t="shared" si="16"/>
        <v/>
      </c>
      <c r="H347" s="50"/>
      <c r="I347" s="45" t="str">
        <f t="shared" si="17"/>
        <v/>
      </c>
      <c r="J347" s="41"/>
    </row>
    <row r="348" spans="2:10" ht="39.950000000000003" customHeight="1" x14ac:dyDescent="0.25">
      <c r="B348" s="41"/>
      <c r="C348" s="42"/>
      <c r="D348" s="43" t="str">
        <f t="shared" si="15"/>
        <v/>
      </c>
      <c r="E348" s="44" t="str">
        <f>IF($C348="","",INDEX(Summary!$J$3:$J$7,MATCH($C348,TaskListLeads,FALSE),1))</f>
        <v/>
      </c>
      <c r="F348" s="50"/>
      <c r="G348" s="45" t="str">
        <f t="shared" si="16"/>
        <v/>
      </c>
      <c r="H348" s="50"/>
      <c r="I348" s="45" t="str">
        <f t="shared" si="17"/>
        <v/>
      </c>
      <c r="J348" s="41"/>
    </row>
    <row r="349" spans="2:10" ht="39.950000000000003" customHeight="1" x14ac:dyDescent="0.25">
      <c r="B349" s="41"/>
      <c r="C349" s="42"/>
      <c r="D349" s="43" t="str">
        <f t="shared" si="15"/>
        <v/>
      </c>
      <c r="E349" s="44" t="str">
        <f>IF($C349="","",INDEX(Summary!$J$3:$J$7,MATCH($C349,TaskListLeads,FALSE),1))</f>
        <v/>
      </c>
      <c r="F349" s="50"/>
      <c r="G349" s="45" t="str">
        <f t="shared" si="16"/>
        <v/>
      </c>
      <c r="H349" s="50"/>
      <c r="I349" s="45" t="str">
        <f t="shared" si="17"/>
        <v/>
      </c>
      <c r="J349" s="41"/>
    </row>
    <row r="350" spans="2:10" ht="39.950000000000003" customHeight="1" x14ac:dyDescent="0.25">
      <c r="B350" s="41"/>
      <c r="C350" s="42"/>
      <c r="D350" s="43" t="str">
        <f t="shared" si="15"/>
        <v/>
      </c>
      <c r="E350" s="44" t="str">
        <f>IF($C350="","",INDEX(Summary!$J$3:$J$7,MATCH($C350,TaskListLeads,FALSE),1))</f>
        <v/>
      </c>
      <c r="F350" s="50"/>
      <c r="G350" s="45" t="str">
        <f t="shared" si="16"/>
        <v/>
      </c>
      <c r="H350" s="50"/>
      <c r="I350" s="45" t="str">
        <f t="shared" si="17"/>
        <v/>
      </c>
      <c r="J350" s="41"/>
    </row>
    <row r="351" spans="2:10" ht="39.950000000000003" customHeight="1" x14ac:dyDescent="0.25">
      <c r="B351" s="41"/>
      <c r="C351" s="42"/>
      <c r="D351" s="43" t="str">
        <f t="shared" si="15"/>
        <v/>
      </c>
      <c r="E351" s="44" t="str">
        <f>IF($C351="","",INDEX(Summary!$J$3:$J$7,MATCH($C351,TaskListLeads,FALSE),1))</f>
        <v/>
      </c>
      <c r="F351" s="50"/>
      <c r="G351" s="45" t="str">
        <f t="shared" si="16"/>
        <v/>
      </c>
      <c r="H351" s="50"/>
      <c r="I351" s="45" t="str">
        <f t="shared" si="17"/>
        <v/>
      </c>
      <c r="J351" s="41"/>
    </row>
    <row r="352" spans="2:10" ht="39.950000000000003" customHeight="1" x14ac:dyDescent="0.25">
      <c r="B352" s="41"/>
      <c r="C352" s="42"/>
      <c r="D352" s="43" t="str">
        <f t="shared" si="15"/>
        <v/>
      </c>
      <c r="E352" s="44" t="str">
        <f>IF($C352="","",INDEX(Summary!$J$3:$J$7,MATCH($C352,TaskListLeads,FALSE),1))</f>
        <v/>
      </c>
      <c r="F352" s="50"/>
      <c r="G352" s="45" t="str">
        <f t="shared" si="16"/>
        <v/>
      </c>
      <c r="H352" s="50"/>
      <c r="I352" s="45" t="str">
        <f t="shared" si="17"/>
        <v/>
      </c>
      <c r="J352" s="41"/>
    </row>
    <row r="353" spans="2:10" ht="39.950000000000003" customHeight="1" x14ac:dyDescent="0.25">
      <c r="B353" s="41"/>
      <c r="C353" s="42"/>
      <c r="D353" s="43" t="str">
        <f t="shared" si="15"/>
        <v/>
      </c>
      <c r="E353" s="44" t="str">
        <f>IF($C353="","",INDEX(Summary!$J$3:$J$7,MATCH($C353,TaskListLeads,FALSE),1))</f>
        <v/>
      </c>
      <c r="F353" s="50"/>
      <c r="G353" s="45" t="str">
        <f t="shared" si="16"/>
        <v/>
      </c>
      <c r="H353" s="50"/>
      <c r="I353" s="45" t="str">
        <f t="shared" si="17"/>
        <v/>
      </c>
      <c r="J353" s="41"/>
    </row>
    <row r="354" spans="2:10" ht="39.950000000000003" customHeight="1" x14ac:dyDescent="0.25">
      <c r="B354" s="41"/>
      <c r="C354" s="42"/>
      <c r="D354" s="43" t="str">
        <f t="shared" si="15"/>
        <v/>
      </c>
      <c r="E354" s="44" t="str">
        <f>IF($C354="","",INDEX(Summary!$J$3:$J$7,MATCH($C354,TaskListLeads,FALSE),1))</f>
        <v/>
      </c>
      <c r="F354" s="50"/>
      <c r="G354" s="45" t="str">
        <f t="shared" si="16"/>
        <v/>
      </c>
      <c r="H354" s="50"/>
      <c r="I354" s="45" t="str">
        <f t="shared" si="17"/>
        <v/>
      </c>
      <c r="J354" s="41"/>
    </row>
    <row r="355" spans="2:10" ht="39.950000000000003" customHeight="1" x14ac:dyDescent="0.25">
      <c r="B355" s="41"/>
      <c r="C355" s="42"/>
      <c r="D355" s="43" t="str">
        <f t="shared" si="15"/>
        <v/>
      </c>
      <c r="E355" s="44" t="str">
        <f>IF($C355="","",INDEX(Summary!$J$3:$J$7,MATCH($C355,TaskListLeads,FALSE),1))</f>
        <v/>
      </c>
      <c r="F355" s="50"/>
      <c r="G355" s="45" t="str">
        <f t="shared" si="16"/>
        <v/>
      </c>
      <c r="H355" s="50"/>
      <c r="I355" s="45" t="str">
        <f t="shared" si="17"/>
        <v/>
      </c>
      <c r="J355" s="41"/>
    </row>
    <row r="356" spans="2:10" ht="39.950000000000003" customHeight="1" x14ac:dyDescent="0.25">
      <c r="B356" s="41"/>
      <c r="C356" s="42"/>
      <c r="D356" s="43" t="str">
        <f t="shared" si="15"/>
        <v/>
      </c>
      <c r="E356" s="44" t="str">
        <f>IF($C356="","",INDEX(Summary!$J$3:$J$7,MATCH($C356,TaskListLeads,FALSE),1))</f>
        <v/>
      </c>
      <c r="F356" s="50"/>
      <c r="G356" s="45" t="str">
        <f t="shared" si="16"/>
        <v/>
      </c>
      <c r="H356" s="50"/>
      <c r="I356" s="45" t="str">
        <f t="shared" si="17"/>
        <v/>
      </c>
      <c r="J356" s="41"/>
    </row>
    <row r="357" spans="2:10" ht="39.950000000000003" customHeight="1" x14ac:dyDescent="0.25">
      <c r="B357" s="41"/>
      <c r="C357" s="42"/>
      <c r="D357" s="43" t="str">
        <f t="shared" si="15"/>
        <v/>
      </c>
      <c r="E357" s="44" t="str">
        <f>IF($C357="","",INDEX(Summary!$J$3:$J$7,MATCH($C357,TaskListLeads,FALSE),1))</f>
        <v/>
      </c>
      <c r="F357" s="50"/>
      <c r="G357" s="45" t="str">
        <f t="shared" si="16"/>
        <v/>
      </c>
      <c r="H357" s="50"/>
      <c r="I357" s="45" t="str">
        <f t="shared" si="17"/>
        <v/>
      </c>
      <c r="J357" s="41"/>
    </row>
    <row r="358" spans="2:10" ht="39.950000000000003" customHeight="1" x14ac:dyDescent="0.25">
      <c r="B358" s="41"/>
      <c r="C358" s="42"/>
      <c r="D358" s="43" t="str">
        <f t="shared" si="15"/>
        <v/>
      </c>
      <c r="E358" s="44" t="str">
        <f>IF($C358="","",INDEX(Summary!$J$3:$J$7,MATCH($C358,TaskListLeads,FALSE),1))</f>
        <v/>
      </c>
      <c r="F358" s="50"/>
      <c r="G358" s="45" t="str">
        <f t="shared" si="16"/>
        <v/>
      </c>
      <c r="H358" s="50"/>
      <c r="I358" s="45" t="str">
        <f t="shared" si="17"/>
        <v/>
      </c>
      <c r="J358" s="41"/>
    </row>
    <row r="359" spans="2:10" ht="39.950000000000003" customHeight="1" x14ac:dyDescent="0.25">
      <c r="B359" s="41"/>
      <c r="C359" s="42"/>
      <c r="D359" s="43" t="str">
        <f t="shared" si="15"/>
        <v/>
      </c>
      <c r="E359" s="44" t="str">
        <f>IF($C359="","",INDEX(Summary!$J$3:$J$7,MATCH($C359,TaskListLeads,FALSE),1))</f>
        <v/>
      </c>
      <c r="F359" s="50"/>
      <c r="G359" s="45" t="str">
        <f t="shared" si="16"/>
        <v/>
      </c>
      <c r="H359" s="50"/>
      <c r="I359" s="45" t="str">
        <f t="shared" si="17"/>
        <v/>
      </c>
      <c r="J359" s="41"/>
    </row>
    <row r="360" spans="2:10" ht="39.950000000000003" customHeight="1" x14ac:dyDescent="0.25">
      <c r="B360" s="41"/>
      <c r="C360" s="42"/>
      <c r="D360" s="43" t="str">
        <f t="shared" si="15"/>
        <v/>
      </c>
      <c r="E360" s="44" t="str">
        <f>IF($C360="","",INDEX(Summary!$J$3:$J$7,MATCH($C360,TaskListLeads,FALSE),1))</f>
        <v/>
      </c>
      <c r="F360" s="50"/>
      <c r="G360" s="45" t="str">
        <f t="shared" si="16"/>
        <v/>
      </c>
      <c r="H360" s="50"/>
      <c r="I360" s="45" t="str">
        <f t="shared" si="17"/>
        <v/>
      </c>
      <c r="J360" s="41"/>
    </row>
    <row r="361" spans="2:10" ht="39.950000000000003" customHeight="1" x14ac:dyDescent="0.25">
      <c r="B361" s="41"/>
      <c r="C361" s="42"/>
      <c r="D361" s="43" t="str">
        <f t="shared" si="15"/>
        <v/>
      </c>
      <c r="E361" s="44" t="str">
        <f>IF($C361="","",INDEX(Summary!$J$3:$J$7,MATCH($C361,TaskListLeads,FALSE),1))</f>
        <v/>
      </c>
      <c r="F361" s="50"/>
      <c r="G361" s="45" t="str">
        <f t="shared" si="16"/>
        <v/>
      </c>
      <c r="H361" s="50"/>
      <c r="I361" s="45" t="str">
        <f t="shared" si="17"/>
        <v/>
      </c>
      <c r="J361" s="41"/>
    </row>
    <row r="362" spans="2:10" ht="39.950000000000003" customHeight="1" x14ac:dyDescent="0.25">
      <c r="B362" s="41"/>
      <c r="C362" s="42"/>
      <c r="D362" s="43" t="str">
        <f t="shared" si="15"/>
        <v/>
      </c>
      <c r="E362" s="44" t="str">
        <f>IF($C362="","",INDEX(Summary!$J$3:$J$7,MATCH($C362,TaskListLeads,FALSE),1))</f>
        <v/>
      </c>
      <c r="F362" s="50"/>
      <c r="G362" s="45" t="str">
        <f t="shared" si="16"/>
        <v/>
      </c>
      <c r="H362" s="50"/>
      <c r="I362" s="45" t="str">
        <f t="shared" si="17"/>
        <v/>
      </c>
      <c r="J362" s="41"/>
    </row>
    <row r="363" spans="2:10" ht="39.950000000000003" customHeight="1" x14ac:dyDescent="0.25">
      <c r="B363" s="41"/>
      <c r="C363" s="42"/>
      <c r="D363" s="43" t="str">
        <f t="shared" si="15"/>
        <v/>
      </c>
      <c r="E363" s="44" t="str">
        <f>IF($C363="","",INDEX(Summary!$J$3:$J$7,MATCH($C363,TaskListLeads,FALSE),1))</f>
        <v/>
      </c>
      <c r="F363" s="50"/>
      <c r="G363" s="45" t="str">
        <f t="shared" si="16"/>
        <v/>
      </c>
      <c r="H363" s="50"/>
      <c r="I363" s="45" t="str">
        <f t="shared" si="17"/>
        <v/>
      </c>
      <c r="J363" s="41"/>
    </row>
    <row r="364" spans="2:10" ht="39.950000000000003" customHeight="1" x14ac:dyDescent="0.25">
      <c r="B364" s="41"/>
      <c r="C364" s="42"/>
      <c r="D364" s="43" t="str">
        <f t="shared" si="15"/>
        <v/>
      </c>
      <c r="E364" s="44" t="str">
        <f>IF($C364="","",INDEX(Summary!$J$3:$J$7,MATCH($C364,TaskListLeads,FALSE),1))</f>
        <v/>
      </c>
      <c r="F364" s="50"/>
      <c r="G364" s="45" t="str">
        <f t="shared" si="16"/>
        <v/>
      </c>
      <c r="H364" s="50"/>
      <c r="I364" s="45" t="str">
        <f t="shared" si="17"/>
        <v/>
      </c>
      <c r="J364" s="41"/>
    </row>
    <row r="365" spans="2:10" ht="39.950000000000003" customHeight="1" x14ac:dyDescent="0.25">
      <c r="B365" s="41"/>
      <c r="C365" s="42"/>
      <c r="D365" s="43" t="str">
        <f t="shared" si="15"/>
        <v/>
      </c>
      <c r="E365" s="44" t="str">
        <f>IF($C365="","",INDEX(Summary!$J$3:$J$7,MATCH($C365,TaskListLeads,FALSE),1))</f>
        <v/>
      </c>
      <c r="F365" s="50"/>
      <c r="G365" s="45" t="str">
        <f t="shared" si="16"/>
        <v/>
      </c>
      <c r="H365" s="50"/>
      <c r="I365" s="45" t="str">
        <f t="shared" si="17"/>
        <v/>
      </c>
      <c r="J365" s="41"/>
    </row>
    <row r="366" spans="2:10" ht="39.950000000000003" customHeight="1" x14ac:dyDescent="0.25">
      <c r="B366" s="41"/>
      <c r="C366" s="42"/>
      <c r="D366" s="43" t="str">
        <f t="shared" si="15"/>
        <v/>
      </c>
      <c r="E366" s="44" t="str">
        <f>IF($C366="","",INDEX(Summary!$J$3:$J$7,MATCH($C366,TaskListLeads,FALSE),1))</f>
        <v/>
      </c>
      <c r="F366" s="50"/>
      <c r="G366" s="45" t="str">
        <f t="shared" si="16"/>
        <v/>
      </c>
      <c r="H366" s="50"/>
      <c r="I366" s="45" t="str">
        <f t="shared" si="17"/>
        <v/>
      </c>
      <c r="J366" s="41"/>
    </row>
    <row r="367" spans="2:10" ht="39.950000000000003" customHeight="1" x14ac:dyDescent="0.25">
      <c r="B367" s="41"/>
      <c r="C367" s="42"/>
      <c r="D367" s="43" t="str">
        <f t="shared" si="15"/>
        <v/>
      </c>
      <c r="E367" s="44" t="str">
        <f>IF($C367="","",INDEX(Summary!$J$3:$J$7,MATCH($C367,TaskListLeads,FALSE),1))</f>
        <v/>
      </c>
      <c r="F367" s="50"/>
      <c r="G367" s="45" t="str">
        <f t="shared" si="16"/>
        <v/>
      </c>
      <c r="H367" s="50"/>
      <c r="I367" s="45" t="str">
        <f t="shared" si="17"/>
        <v/>
      </c>
      <c r="J367" s="41"/>
    </row>
    <row r="368" spans="2:10" ht="39.950000000000003" customHeight="1" x14ac:dyDescent="0.25">
      <c r="B368" s="41"/>
      <c r="C368" s="42"/>
      <c r="D368" s="43" t="str">
        <f t="shared" si="15"/>
        <v/>
      </c>
      <c r="E368" s="44" t="str">
        <f>IF($C368="","",INDEX(Summary!$J$3:$J$7,MATCH($C368,TaskListLeads,FALSE),1))</f>
        <v/>
      </c>
      <c r="F368" s="50"/>
      <c r="G368" s="45" t="str">
        <f t="shared" si="16"/>
        <v/>
      </c>
      <c r="H368" s="50"/>
      <c r="I368" s="45" t="str">
        <f t="shared" si="17"/>
        <v/>
      </c>
      <c r="J368" s="41"/>
    </row>
    <row r="369" spans="2:10" ht="39.950000000000003" customHeight="1" x14ac:dyDescent="0.25">
      <c r="B369" s="41"/>
      <c r="C369" s="42"/>
      <c r="D369" s="43" t="str">
        <f t="shared" si="15"/>
        <v/>
      </c>
      <c r="E369" s="44" t="str">
        <f>IF($C369="","",INDEX(Summary!$J$3:$J$7,MATCH($C369,TaskListLeads,FALSE),1))</f>
        <v/>
      </c>
      <c r="F369" s="50"/>
      <c r="G369" s="45" t="str">
        <f t="shared" si="16"/>
        <v/>
      </c>
      <c r="H369" s="50"/>
      <c r="I369" s="45" t="str">
        <f t="shared" si="17"/>
        <v/>
      </c>
      <c r="J369" s="41"/>
    </row>
    <row r="370" spans="2:10" ht="39.950000000000003" customHeight="1" x14ac:dyDescent="0.25">
      <c r="B370" s="41"/>
      <c r="C370" s="42"/>
      <c r="D370" s="43" t="str">
        <f t="shared" si="15"/>
        <v/>
      </c>
      <c r="E370" s="44" t="str">
        <f>IF($C370="","",INDEX(Summary!$J$3:$J$7,MATCH($C370,TaskListLeads,FALSE),1))</f>
        <v/>
      </c>
      <c r="F370" s="50"/>
      <c r="G370" s="45" t="str">
        <f t="shared" si="16"/>
        <v/>
      </c>
      <c r="H370" s="50"/>
      <c r="I370" s="45" t="str">
        <f t="shared" si="17"/>
        <v/>
      </c>
      <c r="J370" s="41"/>
    </row>
    <row r="371" spans="2:10" ht="39.950000000000003" customHeight="1" x14ac:dyDescent="0.25">
      <c r="B371" s="41"/>
      <c r="C371" s="42"/>
      <c r="D371" s="43" t="str">
        <f t="shared" si="15"/>
        <v/>
      </c>
      <c r="E371" s="44" t="str">
        <f>IF($C371="","",INDEX(Summary!$J$3:$J$7,MATCH($C371,TaskListLeads,FALSE),1))</f>
        <v/>
      </c>
      <c r="F371" s="50"/>
      <c r="G371" s="45" t="str">
        <f t="shared" si="16"/>
        <v/>
      </c>
      <c r="H371" s="50"/>
      <c r="I371" s="45" t="str">
        <f t="shared" si="17"/>
        <v/>
      </c>
      <c r="J371" s="41"/>
    </row>
    <row r="372" spans="2:10" ht="39.950000000000003" customHeight="1" x14ac:dyDescent="0.25">
      <c r="B372" s="41"/>
      <c r="C372" s="42"/>
      <c r="D372" s="43" t="str">
        <f t="shared" si="15"/>
        <v/>
      </c>
      <c r="E372" s="44" t="str">
        <f>IF($C372="","",INDEX(Summary!$J$3:$J$7,MATCH($C372,TaskListLeads,FALSE),1))</f>
        <v/>
      </c>
      <c r="F372" s="50"/>
      <c r="G372" s="45" t="str">
        <f t="shared" si="16"/>
        <v/>
      </c>
      <c r="H372" s="50"/>
      <c r="I372" s="45" t="str">
        <f t="shared" si="17"/>
        <v/>
      </c>
      <c r="J372" s="41"/>
    </row>
    <row r="373" spans="2:10" ht="39.950000000000003" customHeight="1" x14ac:dyDescent="0.25">
      <c r="B373" s="41"/>
      <c r="C373" s="42"/>
      <c r="D373" s="43" t="str">
        <f t="shared" si="15"/>
        <v/>
      </c>
      <c r="E373" s="44" t="str">
        <f>IF($C373="","",INDEX(Summary!$J$3:$J$7,MATCH($C373,TaskListLeads,FALSE),1))</f>
        <v/>
      </c>
      <c r="F373" s="50"/>
      <c r="G373" s="45" t="str">
        <f t="shared" si="16"/>
        <v/>
      </c>
      <c r="H373" s="50"/>
      <c r="I373" s="45" t="str">
        <f t="shared" si="17"/>
        <v/>
      </c>
      <c r="J373" s="41"/>
    </row>
    <row r="374" spans="2:10" ht="39.950000000000003" customHeight="1" x14ac:dyDescent="0.25">
      <c r="B374" s="41"/>
      <c r="C374" s="42"/>
      <c r="D374" s="43" t="str">
        <f t="shared" si="15"/>
        <v/>
      </c>
      <c r="E374" s="44" t="str">
        <f>IF($C374="","",INDEX(Summary!$J$3:$J$7,MATCH($C374,TaskListLeads,FALSE),1))</f>
        <v/>
      </c>
      <c r="F374" s="50"/>
      <c r="G374" s="45" t="str">
        <f t="shared" si="16"/>
        <v/>
      </c>
      <c r="H374" s="50"/>
      <c r="I374" s="45" t="str">
        <f t="shared" si="17"/>
        <v/>
      </c>
      <c r="J374" s="41"/>
    </row>
    <row r="375" spans="2:10" ht="39.950000000000003" customHeight="1" x14ac:dyDescent="0.25">
      <c r="B375" s="41"/>
      <c r="C375" s="42"/>
      <c r="D375" s="43" t="str">
        <f t="shared" si="15"/>
        <v/>
      </c>
      <c r="E375" s="44" t="str">
        <f>IF($C375="","",INDEX(Summary!$J$3:$J$7,MATCH($C375,TaskListLeads,FALSE),1))</f>
        <v/>
      </c>
      <c r="F375" s="50"/>
      <c r="G375" s="45" t="str">
        <f t="shared" si="16"/>
        <v/>
      </c>
      <c r="H375" s="50"/>
      <c r="I375" s="45" t="str">
        <f t="shared" si="17"/>
        <v/>
      </c>
      <c r="J375" s="41"/>
    </row>
    <row r="376" spans="2:10" ht="39.950000000000003" customHeight="1" x14ac:dyDescent="0.25">
      <c r="B376" s="41"/>
      <c r="C376" s="42"/>
      <c r="D376" s="43" t="str">
        <f t="shared" si="15"/>
        <v/>
      </c>
      <c r="E376" s="44" t="str">
        <f>IF($C376="","",INDEX(Summary!$J$3:$J$7,MATCH($C376,TaskListLeads,FALSE),1))</f>
        <v/>
      </c>
      <c r="F376" s="50"/>
      <c r="G376" s="45" t="str">
        <f t="shared" si="16"/>
        <v/>
      </c>
      <c r="H376" s="50"/>
      <c r="I376" s="45" t="str">
        <f t="shared" si="17"/>
        <v/>
      </c>
      <c r="J376" s="41"/>
    </row>
    <row r="377" spans="2:10" ht="39.950000000000003" customHeight="1" x14ac:dyDescent="0.25">
      <c r="B377" s="41"/>
      <c r="C377" s="42"/>
      <c r="D377" s="43" t="str">
        <f t="shared" si="15"/>
        <v/>
      </c>
      <c r="E377" s="44" t="str">
        <f>IF($C377="","",INDEX(Summary!$J$3:$J$7,MATCH($C377,TaskListLeads,FALSE),1))</f>
        <v/>
      </c>
      <c r="F377" s="50"/>
      <c r="G377" s="45" t="str">
        <f t="shared" si="16"/>
        <v/>
      </c>
      <c r="H377" s="50"/>
      <c r="I377" s="45" t="str">
        <f t="shared" si="17"/>
        <v/>
      </c>
      <c r="J377" s="41"/>
    </row>
    <row r="378" spans="2:10" ht="39.950000000000003" customHeight="1" x14ac:dyDescent="0.25">
      <c r="B378" s="41"/>
      <c r="C378" s="42"/>
      <c r="D378" s="43" t="str">
        <f t="shared" si="15"/>
        <v/>
      </c>
      <c r="E378" s="44" t="str">
        <f>IF($C378="","",INDEX(Summary!$J$3:$J$7,MATCH($C378,TaskListLeads,FALSE),1))</f>
        <v/>
      </c>
      <c r="F378" s="50"/>
      <c r="G378" s="45" t="str">
        <f t="shared" si="16"/>
        <v/>
      </c>
      <c r="H378" s="50"/>
      <c r="I378" s="45" t="str">
        <f t="shared" si="17"/>
        <v/>
      </c>
      <c r="J378" s="41"/>
    </row>
    <row r="379" spans="2:10" ht="39.950000000000003" customHeight="1" x14ac:dyDescent="0.25">
      <c r="B379" s="41"/>
      <c r="C379" s="42"/>
      <c r="D379" s="43" t="str">
        <f t="shared" si="15"/>
        <v/>
      </c>
      <c r="E379" s="44" t="str">
        <f>IF($C379="","",INDEX(Summary!$J$3:$J$7,MATCH($C379,TaskListLeads,FALSE),1))</f>
        <v/>
      </c>
      <c r="F379" s="50"/>
      <c r="G379" s="45" t="str">
        <f t="shared" si="16"/>
        <v/>
      </c>
      <c r="H379" s="50"/>
      <c r="I379" s="45" t="str">
        <f t="shared" si="17"/>
        <v/>
      </c>
      <c r="J379" s="41"/>
    </row>
    <row r="380" spans="2:10" ht="39.950000000000003" customHeight="1" x14ac:dyDescent="0.25">
      <c r="B380" s="41"/>
      <c r="C380" s="42"/>
      <c r="D380" s="43" t="str">
        <f t="shared" si="15"/>
        <v/>
      </c>
      <c r="E380" s="44" t="str">
        <f>IF($C380="","",INDEX(Summary!$J$3:$J$7,MATCH($C380,TaskListLeads,FALSE),1))</f>
        <v/>
      </c>
      <c r="F380" s="50"/>
      <c r="G380" s="45" t="str">
        <f t="shared" si="16"/>
        <v/>
      </c>
      <c r="H380" s="50"/>
      <c r="I380" s="45" t="str">
        <f t="shared" si="17"/>
        <v/>
      </c>
      <c r="J380" s="41"/>
    </row>
    <row r="381" spans="2:10" ht="39.950000000000003" customHeight="1" x14ac:dyDescent="0.25">
      <c r="B381" s="41"/>
      <c r="C381" s="42"/>
      <c r="D381" s="43" t="str">
        <f t="shared" si="15"/>
        <v/>
      </c>
      <c r="E381" s="44" t="str">
        <f>IF($C381="","",INDEX(Summary!$J$3:$J$7,MATCH($C381,TaskListLeads,FALSE),1))</f>
        <v/>
      </c>
      <c r="F381" s="50"/>
      <c r="G381" s="45" t="str">
        <f t="shared" si="16"/>
        <v/>
      </c>
      <c r="H381" s="50"/>
      <c r="I381" s="45" t="str">
        <f t="shared" si="17"/>
        <v/>
      </c>
      <c r="J381" s="41"/>
    </row>
    <row r="382" spans="2:10" ht="39.950000000000003" customHeight="1" x14ac:dyDescent="0.25">
      <c r="B382" s="41"/>
      <c r="C382" s="42"/>
      <c r="D382" s="43" t="str">
        <f t="shared" si="15"/>
        <v/>
      </c>
      <c r="E382" s="44" t="str">
        <f>IF($C382="","",INDEX(Summary!$J$3:$J$7,MATCH($C382,TaskListLeads,FALSE),1))</f>
        <v/>
      </c>
      <c r="F382" s="50"/>
      <c r="G382" s="45" t="str">
        <f t="shared" si="16"/>
        <v/>
      </c>
      <c r="H382" s="50"/>
      <c r="I382" s="45" t="str">
        <f t="shared" si="17"/>
        <v/>
      </c>
      <c r="J382" s="41"/>
    </row>
    <row r="383" spans="2:10" ht="39.950000000000003" customHeight="1" x14ac:dyDescent="0.25">
      <c r="B383" s="41"/>
      <c r="C383" s="42"/>
      <c r="D383" s="43" t="str">
        <f t="shared" si="15"/>
        <v/>
      </c>
      <c r="E383" s="44" t="str">
        <f>IF($C383="","",INDEX(Summary!$J$3:$J$7,MATCH($C383,TaskListLeads,FALSE),1))</f>
        <v/>
      </c>
      <c r="F383" s="50"/>
      <c r="G383" s="45" t="str">
        <f t="shared" si="16"/>
        <v/>
      </c>
      <c r="H383" s="50"/>
      <c r="I383" s="45" t="str">
        <f t="shared" si="17"/>
        <v/>
      </c>
      <c r="J383" s="41"/>
    </row>
    <row r="384" spans="2:10" ht="39.950000000000003" customHeight="1" x14ac:dyDescent="0.25">
      <c r="B384" s="41"/>
      <c r="C384" s="42"/>
      <c r="D384" s="43" t="str">
        <f t="shared" si="15"/>
        <v/>
      </c>
      <c r="E384" s="44" t="str">
        <f>IF($C384="","",INDEX(Summary!$J$3:$J$7,MATCH($C384,TaskListLeads,FALSE),1))</f>
        <v/>
      </c>
      <c r="F384" s="50"/>
      <c r="G384" s="45" t="str">
        <f t="shared" si="16"/>
        <v/>
      </c>
      <c r="H384" s="50"/>
      <c r="I384" s="45" t="str">
        <f t="shared" si="17"/>
        <v/>
      </c>
      <c r="J384" s="41"/>
    </row>
    <row r="385" spans="2:10" ht="39.950000000000003" customHeight="1" x14ac:dyDescent="0.25">
      <c r="B385" s="41"/>
      <c r="C385" s="42"/>
      <c r="D385" s="43" t="str">
        <f t="shared" si="15"/>
        <v/>
      </c>
      <c r="E385" s="44" t="str">
        <f>IF($C385="","",INDEX(Summary!$J$3:$J$7,MATCH($C385,TaskListLeads,FALSE),1))</f>
        <v/>
      </c>
      <c r="F385" s="50"/>
      <c r="G385" s="45" t="str">
        <f t="shared" si="16"/>
        <v/>
      </c>
      <c r="H385" s="50"/>
      <c r="I385" s="45" t="str">
        <f t="shared" si="17"/>
        <v/>
      </c>
      <c r="J385" s="41"/>
    </row>
    <row r="386" spans="2:10" ht="39.950000000000003" customHeight="1" x14ac:dyDescent="0.25">
      <c r="B386" s="41"/>
      <c r="C386" s="42"/>
      <c r="D386" s="43" t="str">
        <f t="shared" si="15"/>
        <v/>
      </c>
      <c r="E386" s="44" t="str">
        <f>IF($C386="","",INDEX(Summary!$J$3:$J$7,MATCH($C386,TaskListLeads,FALSE),1))</f>
        <v/>
      </c>
      <c r="F386" s="50"/>
      <c r="G386" s="45" t="str">
        <f t="shared" si="16"/>
        <v/>
      </c>
      <c r="H386" s="50"/>
      <c r="I386" s="45" t="str">
        <f t="shared" si="17"/>
        <v/>
      </c>
      <c r="J386" s="41"/>
    </row>
    <row r="387" spans="2:10" ht="39.950000000000003" customHeight="1" x14ac:dyDescent="0.25">
      <c r="B387" s="41"/>
      <c r="C387" s="42"/>
      <c r="D387" s="43" t="str">
        <f t="shared" si="15"/>
        <v/>
      </c>
      <c r="E387" s="44" t="str">
        <f>IF($C387="","",INDEX(Summary!$J$3:$J$7,MATCH($C387,TaskListLeads,FALSE),1))</f>
        <v/>
      </c>
      <c r="F387" s="50"/>
      <c r="G387" s="45" t="str">
        <f t="shared" si="16"/>
        <v/>
      </c>
      <c r="H387" s="50"/>
      <c r="I387" s="45" t="str">
        <f t="shared" si="17"/>
        <v/>
      </c>
      <c r="J387" s="41"/>
    </row>
    <row r="388" spans="2:10" ht="39.950000000000003" customHeight="1" x14ac:dyDescent="0.25">
      <c r="B388" s="41"/>
      <c r="C388" s="42"/>
      <c r="D388" s="43" t="str">
        <f t="shared" si="15"/>
        <v/>
      </c>
      <c r="E388" s="44" t="str">
        <f>IF($C388="","",INDEX(Summary!$J$3:$J$7,MATCH($C388,TaskListLeads,FALSE),1))</f>
        <v/>
      </c>
      <c r="F388" s="50"/>
      <c r="G388" s="45" t="str">
        <f t="shared" si="16"/>
        <v/>
      </c>
      <c r="H388" s="50"/>
      <c r="I388" s="45" t="str">
        <f t="shared" si="17"/>
        <v/>
      </c>
      <c r="J388" s="41"/>
    </row>
    <row r="389" spans="2:10" ht="39.950000000000003" customHeight="1" x14ac:dyDescent="0.25">
      <c r="B389" s="41"/>
      <c r="C389" s="42"/>
      <c r="D389" s="43" t="str">
        <f t="shared" si="15"/>
        <v/>
      </c>
      <c r="E389" s="44" t="str">
        <f>IF($C389="","",INDEX(Summary!$J$3:$J$7,MATCH($C389,TaskListLeads,FALSE),1))</f>
        <v/>
      </c>
      <c r="F389" s="50"/>
      <c r="G389" s="45" t="str">
        <f t="shared" si="16"/>
        <v/>
      </c>
      <c r="H389" s="50"/>
      <c r="I389" s="45" t="str">
        <f t="shared" si="17"/>
        <v/>
      </c>
      <c r="J389" s="41"/>
    </row>
    <row r="390" spans="2:10" ht="39.950000000000003" customHeight="1" x14ac:dyDescent="0.25">
      <c r="B390" s="41"/>
      <c r="C390" s="42"/>
      <c r="D390" s="43" t="str">
        <f t="shared" si="15"/>
        <v/>
      </c>
      <c r="E390" s="44" t="str">
        <f>IF($C390="","",INDEX(Summary!$J$3:$J$7,MATCH($C390,TaskListLeads,FALSE),1))</f>
        <v/>
      </c>
      <c r="F390" s="50"/>
      <c r="G390" s="45" t="str">
        <f t="shared" si="16"/>
        <v/>
      </c>
      <c r="H390" s="50"/>
      <c r="I390" s="45" t="str">
        <f t="shared" si="17"/>
        <v/>
      </c>
      <c r="J390" s="41"/>
    </row>
    <row r="391" spans="2:10" ht="39.950000000000003" customHeight="1" x14ac:dyDescent="0.25">
      <c r="B391" s="41"/>
      <c r="C391" s="42"/>
      <c r="D391" s="43" t="str">
        <f t="shared" si="15"/>
        <v/>
      </c>
      <c r="E391" s="44" t="str">
        <f>IF($C391="","",INDEX(Summary!$J$3:$J$7,MATCH($C391,TaskListLeads,FALSE),1))</f>
        <v/>
      </c>
      <c r="F391" s="50"/>
      <c r="G391" s="45" t="str">
        <f t="shared" si="16"/>
        <v/>
      </c>
      <c r="H391" s="50"/>
      <c r="I391" s="45" t="str">
        <f t="shared" si="17"/>
        <v/>
      </c>
      <c r="J391" s="41"/>
    </row>
    <row r="392" spans="2:10" ht="39.950000000000003" customHeight="1" x14ac:dyDescent="0.25">
      <c r="B392" s="41"/>
      <c r="C392" s="42"/>
      <c r="D392" s="43" t="str">
        <f t="shared" si="15"/>
        <v/>
      </c>
      <c r="E392" s="44" t="str">
        <f>IF($C392="","",INDEX(Summary!$J$3:$J$7,MATCH($C392,TaskListLeads,FALSE),1))</f>
        <v/>
      </c>
      <c r="F392" s="50"/>
      <c r="G392" s="45" t="str">
        <f t="shared" si="16"/>
        <v/>
      </c>
      <c r="H392" s="50"/>
      <c r="I392" s="45" t="str">
        <f t="shared" si="17"/>
        <v/>
      </c>
      <c r="J392" s="41"/>
    </row>
    <row r="393" spans="2:10" ht="39.950000000000003" customHeight="1" x14ac:dyDescent="0.25">
      <c r="B393" s="41"/>
      <c r="C393" s="42"/>
      <c r="D393" s="43" t="str">
        <f t="shared" si="15"/>
        <v/>
      </c>
      <c r="E393" s="44" t="str">
        <f>IF($C393="","",INDEX(Summary!$J$3:$J$7,MATCH($C393,TaskListLeads,FALSE),1))</f>
        <v/>
      </c>
      <c r="F393" s="50"/>
      <c r="G393" s="45" t="str">
        <f t="shared" si="16"/>
        <v/>
      </c>
      <c r="H393" s="50"/>
      <c r="I393" s="45" t="str">
        <f t="shared" si="17"/>
        <v/>
      </c>
      <c r="J393" s="41"/>
    </row>
    <row r="394" spans="2:10" ht="39.950000000000003" customHeight="1" x14ac:dyDescent="0.25">
      <c r="B394" s="41"/>
      <c r="C394" s="42"/>
      <c r="D394" s="43" t="str">
        <f t="shared" si="15"/>
        <v/>
      </c>
      <c r="E394" s="44" t="str">
        <f>IF($C394="","",INDEX(Summary!$J$3:$J$7,MATCH($C394,TaskListLeads,FALSE),1))</f>
        <v/>
      </c>
      <c r="F394" s="50"/>
      <c r="G394" s="45" t="str">
        <f t="shared" si="16"/>
        <v/>
      </c>
      <c r="H394" s="50"/>
      <c r="I394" s="45" t="str">
        <f t="shared" si="17"/>
        <v/>
      </c>
      <c r="J394" s="41"/>
    </row>
    <row r="395" spans="2:10" ht="39.950000000000003" customHeight="1" x14ac:dyDescent="0.25">
      <c r="B395" s="41"/>
      <c r="C395" s="42"/>
      <c r="D395" s="43" t="str">
        <f t="shared" ref="D395:D458" si="18">IF($C395="","",INDEX(TaskListCostCentres,MATCH($C395,TaskListLeads,FALSE),1))</f>
        <v/>
      </c>
      <c r="E395" s="44" t="str">
        <f>IF($C395="","",INDEX(Summary!$J$3:$J$7,MATCH($C395,TaskListLeads,FALSE),1))</f>
        <v/>
      </c>
      <c r="F395" s="50"/>
      <c r="G395" s="45" t="str">
        <f t="shared" ref="G395:G458" si="19">IF($F395="","",INDEX(ControlWeeksOf,MATCH($F395,ControlWeeksOf,TRUE),1))</f>
        <v/>
      </c>
      <c r="H395" s="50"/>
      <c r="I395" s="45" t="str">
        <f t="shared" ref="I395:I458" si="20">IF($H395="","",INDEX(ControlWeeksOf,MATCH($H395,ControlWeeksOf,TRUE),1))</f>
        <v/>
      </c>
      <c r="J395" s="41"/>
    </row>
    <row r="396" spans="2:10" ht="39.950000000000003" customHeight="1" x14ac:dyDescent="0.25">
      <c r="B396" s="41"/>
      <c r="C396" s="42"/>
      <c r="D396" s="43" t="str">
        <f t="shared" si="18"/>
        <v/>
      </c>
      <c r="E396" s="44" t="str">
        <f>IF($C396="","",INDEX(Summary!$J$3:$J$7,MATCH($C396,TaskListLeads,FALSE),1))</f>
        <v/>
      </c>
      <c r="F396" s="50"/>
      <c r="G396" s="45" t="str">
        <f t="shared" si="19"/>
        <v/>
      </c>
      <c r="H396" s="50"/>
      <c r="I396" s="45" t="str">
        <f t="shared" si="20"/>
        <v/>
      </c>
      <c r="J396" s="41"/>
    </row>
    <row r="397" spans="2:10" ht="39.950000000000003" customHeight="1" x14ac:dyDescent="0.25">
      <c r="B397" s="41"/>
      <c r="C397" s="42"/>
      <c r="D397" s="43" t="str">
        <f t="shared" si="18"/>
        <v/>
      </c>
      <c r="E397" s="44" t="str">
        <f>IF($C397="","",INDEX(Summary!$J$3:$J$7,MATCH($C397,TaskListLeads,FALSE),1))</f>
        <v/>
      </c>
      <c r="F397" s="50"/>
      <c r="G397" s="45" t="str">
        <f t="shared" si="19"/>
        <v/>
      </c>
      <c r="H397" s="50"/>
      <c r="I397" s="45" t="str">
        <f t="shared" si="20"/>
        <v/>
      </c>
      <c r="J397" s="41"/>
    </row>
    <row r="398" spans="2:10" ht="39.950000000000003" customHeight="1" x14ac:dyDescent="0.25">
      <c r="B398" s="41"/>
      <c r="C398" s="42"/>
      <c r="D398" s="43" t="str">
        <f t="shared" si="18"/>
        <v/>
      </c>
      <c r="E398" s="44" t="str">
        <f>IF($C398="","",INDEX(Summary!$J$3:$J$7,MATCH($C398,TaskListLeads,FALSE),1))</f>
        <v/>
      </c>
      <c r="F398" s="50"/>
      <c r="G398" s="45" t="str">
        <f t="shared" si="19"/>
        <v/>
      </c>
      <c r="H398" s="50"/>
      <c r="I398" s="45" t="str">
        <f t="shared" si="20"/>
        <v/>
      </c>
      <c r="J398" s="41"/>
    </row>
    <row r="399" spans="2:10" ht="39.950000000000003" customHeight="1" x14ac:dyDescent="0.25">
      <c r="B399" s="41"/>
      <c r="C399" s="42"/>
      <c r="D399" s="43" t="str">
        <f t="shared" si="18"/>
        <v/>
      </c>
      <c r="E399" s="44" t="str">
        <f>IF($C399="","",INDEX(Summary!$J$3:$J$7,MATCH($C399,TaskListLeads,FALSE),1))</f>
        <v/>
      </c>
      <c r="F399" s="50"/>
      <c r="G399" s="45" t="str">
        <f t="shared" si="19"/>
        <v/>
      </c>
      <c r="H399" s="50"/>
      <c r="I399" s="45" t="str">
        <f t="shared" si="20"/>
        <v/>
      </c>
      <c r="J399" s="41"/>
    </row>
    <row r="400" spans="2:10" ht="39.950000000000003" customHeight="1" x14ac:dyDescent="0.25">
      <c r="B400" s="41"/>
      <c r="C400" s="42"/>
      <c r="D400" s="43" t="str">
        <f t="shared" si="18"/>
        <v/>
      </c>
      <c r="E400" s="44" t="str">
        <f>IF($C400="","",INDEX(Summary!$J$3:$J$7,MATCH($C400,TaskListLeads,FALSE),1))</f>
        <v/>
      </c>
      <c r="F400" s="50"/>
      <c r="G400" s="45" t="str">
        <f t="shared" si="19"/>
        <v/>
      </c>
      <c r="H400" s="50"/>
      <c r="I400" s="45" t="str">
        <f t="shared" si="20"/>
        <v/>
      </c>
      <c r="J400" s="41"/>
    </row>
    <row r="401" spans="2:10" ht="39.950000000000003" customHeight="1" x14ac:dyDescent="0.25">
      <c r="B401" s="41"/>
      <c r="C401" s="42"/>
      <c r="D401" s="43" t="str">
        <f t="shared" si="18"/>
        <v/>
      </c>
      <c r="E401" s="44" t="str">
        <f>IF($C401="","",INDEX(Summary!$J$3:$J$7,MATCH($C401,TaskListLeads,FALSE),1))</f>
        <v/>
      </c>
      <c r="F401" s="50"/>
      <c r="G401" s="45" t="str">
        <f t="shared" si="19"/>
        <v/>
      </c>
      <c r="H401" s="50"/>
      <c r="I401" s="45" t="str">
        <f t="shared" si="20"/>
        <v/>
      </c>
      <c r="J401" s="41"/>
    </row>
    <row r="402" spans="2:10" ht="39.950000000000003" customHeight="1" x14ac:dyDescent="0.25">
      <c r="B402" s="41"/>
      <c r="C402" s="42"/>
      <c r="D402" s="43" t="str">
        <f t="shared" si="18"/>
        <v/>
      </c>
      <c r="E402" s="44" t="str">
        <f>IF($C402="","",INDEX(Summary!$J$3:$J$7,MATCH($C402,TaskListLeads,FALSE),1))</f>
        <v/>
      </c>
      <c r="F402" s="50"/>
      <c r="G402" s="45" t="str">
        <f t="shared" si="19"/>
        <v/>
      </c>
      <c r="H402" s="50"/>
      <c r="I402" s="45" t="str">
        <f t="shared" si="20"/>
        <v/>
      </c>
      <c r="J402" s="41"/>
    </row>
    <row r="403" spans="2:10" ht="39.950000000000003" customHeight="1" x14ac:dyDescent="0.25">
      <c r="B403" s="41"/>
      <c r="C403" s="42"/>
      <c r="D403" s="43" t="str">
        <f t="shared" si="18"/>
        <v/>
      </c>
      <c r="E403" s="44" t="str">
        <f>IF($C403="","",INDEX(Summary!$J$3:$J$7,MATCH($C403,TaskListLeads,FALSE),1))</f>
        <v/>
      </c>
      <c r="F403" s="50"/>
      <c r="G403" s="45" t="str">
        <f t="shared" si="19"/>
        <v/>
      </c>
      <c r="H403" s="50"/>
      <c r="I403" s="45" t="str">
        <f t="shared" si="20"/>
        <v/>
      </c>
      <c r="J403" s="41"/>
    </row>
    <row r="404" spans="2:10" ht="39.950000000000003" customHeight="1" x14ac:dyDescent="0.25">
      <c r="B404" s="41"/>
      <c r="C404" s="42"/>
      <c r="D404" s="43" t="str">
        <f t="shared" si="18"/>
        <v/>
      </c>
      <c r="E404" s="44" t="str">
        <f>IF($C404="","",INDEX(Summary!$J$3:$J$7,MATCH($C404,TaskListLeads,FALSE),1))</f>
        <v/>
      </c>
      <c r="F404" s="50"/>
      <c r="G404" s="45" t="str">
        <f t="shared" si="19"/>
        <v/>
      </c>
      <c r="H404" s="50"/>
      <c r="I404" s="45" t="str">
        <f t="shared" si="20"/>
        <v/>
      </c>
      <c r="J404" s="41"/>
    </row>
    <row r="405" spans="2:10" ht="39.950000000000003" customHeight="1" x14ac:dyDescent="0.25">
      <c r="B405" s="41"/>
      <c r="C405" s="42"/>
      <c r="D405" s="43" t="str">
        <f t="shared" si="18"/>
        <v/>
      </c>
      <c r="E405" s="44" t="str">
        <f>IF($C405="","",INDEX(Summary!$J$3:$J$7,MATCH($C405,TaskListLeads,FALSE),1))</f>
        <v/>
      </c>
      <c r="F405" s="50"/>
      <c r="G405" s="45" t="str">
        <f t="shared" si="19"/>
        <v/>
      </c>
      <c r="H405" s="50"/>
      <c r="I405" s="45" t="str">
        <f t="shared" si="20"/>
        <v/>
      </c>
      <c r="J405" s="41"/>
    </row>
    <row r="406" spans="2:10" ht="39.950000000000003" customHeight="1" x14ac:dyDescent="0.25">
      <c r="B406" s="41"/>
      <c r="C406" s="42"/>
      <c r="D406" s="43" t="str">
        <f t="shared" si="18"/>
        <v/>
      </c>
      <c r="E406" s="44" t="str">
        <f>IF($C406="","",INDEX(Summary!$J$3:$J$7,MATCH($C406,TaskListLeads,FALSE),1))</f>
        <v/>
      </c>
      <c r="F406" s="50"/>
      <c r="G406" s="45" t="str">
        <f t="shared" si="19"/>
        <v/>
      </c>
      <c r="H406" s="50"/>
      <c r="I406" s="45" t="str">
        <f t="shared" si="20"/>
        <v/>
      </c>
      <c r="J406" s="41"/>
    </row>
    <row r="407" spans="2:10" ht="39.950000000000003" customHeight="1" x14ac:dyDescent="0.25">
      <c r="B407" s="41"/>
      <c r="C407" s="42"/>
      <c r="D407" s="43" t="str">
        <f t="shared" si="18"/>
        <v/>
      </c>
      <c r="E407" s="44" t="str">
        <f>IF($C407="","",INDEX(Summary!$J$3:$J$7,MATCH($C407,TaskListLeads,FALSE),1))</f>
        <v/>
      </c>
      <c r="F407" s="50"/>
      <c r="G407" s="45" t="str">
        <f t="shared" si="19"/>
        <v/>
      </c>
      <c r="H407" s="50"/>
      <c r="I407" s="45" t="str">
        <f t="shared" si="20"/>
        <v/>
      </c>
      <c r="J407" s="41"/>
    </row>
    <row r="408" spans="2:10" ht="39.950000000000003" customHeight="1" x14ac:dyDescent="0.25">
      <c r="B408" s="41"/>
      <c r="C408" s="42"/>
      <c r="D408" s="43" t="str">
        <f t="shared" si="18"/>
        <v/>
      </c>
      <c r="E408" s="44" t="str">
        <f>IF($C408="","",INDEX(Summary!$J$3:$J$7,MATCH($C408,TaskListLeads,FALSE),1))</f>
        <v/>
      </c>
      <c r="F408" s="50"/>
      <c r="G408" s="45" t="str">
        <f t="shared" si="19"/>
        <v/>
      </c>
      <c r="H408" s="50"/>
      <c r="I408" s="45" t="str">
        <f t="shared" si="20"/>
        <v/>
      </c>
      <c r="J408" s="41"/>
    </row>
    <row r="409" spans="2:10" ht="39.950000000000003" customHeight="1" x14ac:dyDescent="0.25">
      <c r="B409" s="41"/>
      <c r="C409" s="42"/>
      <c r="D409" s="43" t="str">
        <f t="shared" si="18"/>
        <v/>
      </c>
      <c r="E409" s="44" t="str">
        <f>IF($C409="","",INDEX(Summary!$J$3:$J$7,MATCH($C409,TaskListLeads,FALSE),1))</f>
        <v/>
      </c>
      <c r="F409" s="50"/>
      <c r="G409" s="45" t="str">
        <f t="shared" si="19"/>
        <v/>
      </c>
      <c r="H409" s="50"/>
      <c r="I409" s="45" t="str">
        <f t="shared" si="20"/>
        <v/>
      </c>
      <c r="J409" s="41"/>
    </row>
    <row r="410" spans="2:10" ht="39.950000000000003" customHeight="1" x14ac:dyDescent="0.25">
      <c r="B410" s="41"/>
      <c r="C410" s="42"/>
      <c r="D410" s="43" t="str">
        <f t="shared" si="18"/>
        <v/>
      </c>
      <c r="E410" s="44" t="str">
        <f>IF($C410="","",INDEX(Summary!$J$3:$J$7,MATCH($C410,TaskListLeads,FALSE),1))</f>
        <v/>
      </c>
      <c r="F410" s="50"/>
      <c r="G410" s="45" t="str">
        <f t="shared" si="19"/>
        <v/>
      </c>
      <c r="H410" s="50"/>
      <c r="I410" s="45" t="str">
        <f t="shared" si="20"/>
        <v/>
      </c>
      <c r="J410" s="41"/>
    </row>
    <row r="411" spans="2:10" ht="39.950000000000003" customHeight="1" x14ac:dyDescent="0.25">
      <c r="B411" s="41"/>
      <c r="C411" s="42"/>
      <c r="D411" s="43" t="str">
        <f t="shared" si="18"/>
        <v/>
      </c>
      <c r="E411" s="44" t="str">
        <f>IF($C411="","",INDEX(Summary!$J$3:$J$7,MATCH($C411,TaskListLeads,FALSE),1))</f>
        <v/>
      </c>
      <c r="F411" s="50"/>
      <c r="G411" s="45" t="str">
        <f t="shared" si="19"/>
        <v/>
      </c>
      <c r="H411" s="50"/>
      <c r="I411" s="45" t="str">
        <f t="shared" si="20"/>
        <v/>
      </c>
      <c r="J411" s="41"/>
    </row>
    <row r="412" spans="2:10" ht="39.950000000000003" customHeight="1" x14ac:dyDescent="0.25">
      <c r="B412" s="41"/>
      <c r="C412" s="42"/>
      <c r="D412" s="43" t="str">
        <f t="shared" si="18"/>
        <v/>
      </c>
      <c r="E412" s="44" t="str">
        <f>IF($C412="","",INDEX(Summary!$J$3:$J$7,MATCH($C412,TaskListLeads,FALSE),1))</f>
        <v/>
      </c>
      <c r="F412" s="50"/>
      <c r="G412" s="45" t="str">
        <f t="shared" si="19"/>
        <v/>
      </c>
      <c r="H412" s="50"/>
      <c r="I412" s="45" t="str">
        <f t="shared" si="20"/>
        <v/>
      </c>
      <c r="J412" s="41"/>
    </row>
    <row r="413" spans="2:10" ht="39.950000000000003" customHeight="1" x14ac:dyDescent="0.25">
      <c r="B413" s="41"/>
      <c r="C413" s="42"/>
      <c r="D413" s="43" t="str">
        <f t="shared" si="18"/>
        <v/>
      </c>
      <c r="E413" s="44" t="str">
        <f>IF($C413="","",INDEX(Summary!$J$3:$J$7,MATCH($C413,TaskListLeads,FALSE),1))</f>
        <v/>
      </c>
      <c r="F413" s="50"/>
      <c r="G413" s="45" t="str">
        <f t="shared" si="19"/>
        <v/>
      </c>
      <c r="H413" s="50"/>
      <c r="I413" s="45" t="str">
        <f t="shared" si="20"/>
        <v/>
      </c>
      <c r="J413" s="41"/>
    </row>
    <row r="414" spans="2:10" ht="39.950000000000003" customHeight="1" x14ac:dyDescent="0.25">
      <c r="B414" s="41"/>
      <c r="C414" s="42"/>
      <c r="D414" s="43" t="str">
        <f t="shared" si="18"/>
        <v/>
      </c>
      <c r="E414" s="44" t="str">
        <f>IF($C414="","",INDEX(Summary!$J$3:$J$7,MATCH($C414,TaskListLeads,FALSE),1))</f>
        <v/>
      </c>
      <c r="F414" s="50"/>
      <c r="G414" s="45" t="str">
        <f t="shared" si="19"/>
        <v/>
      </c>
      <c r="H414" s="50"/>
      <c r="I414" s="45" t="str">
        <f t="shared" si="20"/>
        <v/>
      </c>
      <c r="J414" s="41"/>
    </row>
    <row r="415" spans="2:10" ht="39.950000000000003" customHeight="1" x14ac:dyDescent="0.25">
      <c r="B415" s="41"/>
      <c r="C415" s="42"/>
      <c r="D415" s="43" t="str">
        <f t="shared" si="18"/>
        <v/>
      </c>
      <c r="E415" s="44" t="str">
        <f>IF($C415="","",INDEX(Summary!$J$3:$J$7,MATCH($C415,TaskListLeads,FALSE),1))</f>
        <v/>
      </c>
      <c r="F415" s="50"/>
      <c r="G415" s="45" t="str">
        <f t="shared" si="19"/>
        <v/>
      </c>
      <c r="H415" s="50"/>
      <c r="I415" s="45" t="str">
        <f t="shared" si="20"/>
        <v/>
      </c>
      <c r="J415" s="41"/>
    </row>
    <row r="416" spans="2:10" ht="39.950000000000003" customHeight="1" x14ac:dyDescent="0.25">
      <c r="B416" s="41"/>
      <c r="C416" s="42"/>
      <c r="D416" s="43" t="str">
        <f t="shared" si="18"/>
        <v/>
      </c>
      <c r="E416" s="44" t="str">
        <f>IF($C416="","",INDEX(Summary!$J$3:$J$7,MATCH($C416,TaskListLeads,FALSE),1))</f>
        <v/>
      </c>
      <c r="F416" s="50"/>
      <c r="G416" s="45" t="str">
        <f t="shared" si="19"/>
        <v/>
      </c>
      <c r="H416" s="50"/>
      <c r="I416" s="45" t="str">
        <f t="shared" si="20"/>
        <v/>
      </c>
      <c r="J416" s="41"/>
    </row>
    <row r="417" spans="2:10" ht="39.950000000000003" customHeight="1" x14ac:dyDescent="0.25">
      <c r="B417" s="41"/>
      <c r="C417" s="42"/>
      <c r="D417" s="43" t="str">
        <f t="shared" si="18"/>
        <v/>
      </c>
      <c r="E417" s="44" t="str">
        <f>IF($C417="","",INDEX(Summary!$J$3:$J$7,MATCH($C417,TaskListLeads,FALSE),1))</f>
        <v/>
      </c>
      <c r="F417" s="50"/>
      <c r="G417" s="45" t="str">
        <f t="shared" si="19"/>
        <v/>
      </c>
      <c r="H417" s="50"/>
      <c r="I417" s="45" t="str">
        <f t="shared" si="20"/>
        <v/>
      </c>
      <c r="J417" s="41"/>
    </row>
    <row r="418" spans="2:10" ht="39.950000000000003" customHeight="1" x14ac:dyDescent="0.25">
      <c r="B418" s="41"/>
      <c r="C418" s="42"/>
      <c r="D418" s="43" t="str">
        <f t="shared" si="18"/>
        <v/>
      </c>
      <c r="E418" s="44" t="str">
        <f>IF($C418="","",INDEX(Summary!$J$3:$J$7,MATCH($C418,TaskListLeads,FALSE),1))</f>
        <v/>
      </c>
      <c r="F418" s="50"/>
      <c r="G418" s="45" t="str">
        <f t="shared" si="19"/>
        <v/>
      </c>
      <c r="H418" s="50"/>
      <c r="I418" s="45" t="str">
        <f t="shared" si="20"/>
        <v/>
      </c>
      <c r="J418" s="41"/>
    </row>
    <row r="419" spans="2:10" ht="39.950000000000003" customHeight="1" x14ac:dyDescent="0.25">
      <c r="B419" s="41"/>
      <c r="C419" s="42"/>
      <c r="D419" s="43" t="str">
        <f t="shared" si="18"/>
        <v/>
      </c>
      <c r="E419" s="44" t="str">
        <f>IF($C419="","",INDEX(Summary!$J$3:$J$7,MATCH($C419,TaskListLeads,FALSE),1))</f>
        <v/>
      </c>
      <c r="F419" s="50"/>
      <c r="G419" s="45" t="str">
        <f t="shared" si="19"/>
        <v/>
      </c>
      <c r="H419" s="50"/>
      <c r="I419" s="45" t="str">
        <f t="shared" si="20"/>
        <v/>
      </c>
      <c r="J419" s="41"/>
    </row>
    <row r="420" spans="2:10" ht="39.950000000000003" customHeight="1" x14ac:dyDescent="0.25">
      <c r="B420" s="41"/>
      <c r="C420" s="42"/>
      <c r="D420" s="43" t="str">
        <f t="shared" si="18"/>
        <v/>
      </c>
      <c r="E420" s="44" t="str">
        <f>IF($C420="","",INDEX(Summary!$J$3:$J$7,MATCH($C420,TaskListLeads,FALSE),1))</f>
        <v/>
      </c>
      <c r="F420" s="50"/>
      <c r="G420" s="45" t="str">
        <f t="shared" si="19"/>
        <v/>
      </c>
      <c r="H420" s="50"/>
      <c r="I420" s="45" t="str">
        <f t="shared" si="20"/>
        <v/>
      </c>
      <c r="J420" s="41"/>
    </row>
    <row r="421" spans="2:10" ht="39.950000000000003" customHeight="1" x14ac:dyDescent="0.25">
      <c r="B421" s="41"/>
      <c r="C421" s="42"/>
      <c r="D421" s="43" t="str">
        <f t="shared" si="18"/>
        <v/>
      </c>
      <c r="E421" s="44" t="str">
        <f>IF($C421="","",INDEX(Summary!$J$3:$J$7,MATCH($C421,TaskListLeads,FALSE),1))</f>
        <v/>
      </c>
      <c r="F421" s="50"/>
      <c r="G421" s="45" t="str">
        <f t="shared" si="19"/>
        <v/>
      </c>
      <c r="H421" s="50"/>
      <c r="I421" s="45" t="str">
        <f t="shared" si="20"/>
        <v/>
      </c>
      <c r="J421" s="41"/>
    </row>
    <row r="422" spans="2:10" ht="39.950000000000003" customHeight="1" x14ac:dyDescent="0.25">
      <c r="B422" s="41"/>
      <c r="C422" s="42"/>
      <c r="D422" s="43" t="str">
        <f t="shared" si="18"/>
        <v/>
      </c>
      <c r="E422" s="44" t="str">
        <f>IF($C422="","",INDEX(Summary!$J$3:$J$7,MATCH($C422,TaskListLeads,FALSE),1))</f>
        <v/>
      </c>
      <c r="F422" s="50"/>
      <c r="G422" s="45" t="str">
        <f t="shared" si="19"/>
        <v/>
      </c>
      <c r="H422" s="50"/>
      <c r="I422" s="45" t="str">
        <f t="shared" si="20"/>
        <v/>
      </c>
      <c r="J422" s="41"/>
    </row>
    <row r="423" spans="2:10" ht="39.950000000000003" customHeight="1" x14ac:dyDescent="0.25">
      <c r="B423" s="41"/>
      <c r="C423" s="42"/>
      <c r="D423" s="43" t="str">
        <f t="shared" si="18"/>
        <v/>
      </c>
      <c r="E423" s="44" t="str">
        <f>IF($C423="","",INDEX(Summary!$J$3:$J$7,MATCH($C423,TaskListLeads,FALSE),1))</f>
        <v/>
      </c>
      <c r="F423" s="50"/>
      <c r="G423" s="45" t="str">
        <f t="shared" si="19"/>
        <v/>
      </c>
      <c r="H423" s="50"/>
      <c r="I423" s="45" t="str">
        <f t="shared" si="20"/>
        <v/>
      </c>
      <c r="J423" s="41"/>
    </row>
    <row r="424" spans="2:10" ht="39.950000000000003" customHeight="1" x14ac:dyDescent="0.25">
      <c r="B424" s="41"/>
      <c r="C424" s="42"/>
      <c r="D424" s="43" t="str">
        <f t="shared" si="18"/>
        <v/>
      </c>
      <c r="E424" s="44" t="str">
        <f>IF($C424="","",INDEX(Summary!$J$3:$J$7,MATCH($C424,TaskListLeads,FALSE),1))</f>
        <v/>
      </c>
      <c r="F424" s="50"/>
      <c r="G424" s="45" t="str">
        <f t="shared" si="19"/>
        <v/>
      </c>
      <c r="H424" s="50"/>
      <c r="I424" s="45" t="str">
        <f t="shared" si="20"/>
        <v/>
      </c>
      <c r="J424" s="41"/>
    </row>
    <row r="425" spans="2:10" ht="39.950000000000003" customHeight="1" x14ac:dyDescent="0.25">
      <c r="B425" s="41"/>
      <c r="C425" s="42"/>
      <c r="D425" s="43" t="str">
        <f t="shared" si="18"/>
        <v/>
      </c>
      <c r="E425" s="44" t="str">
        <f>IF($C425="","",INDEX(Summary!$J$3:$J$7,MATCH($C425,TaskListLeads,FALSE),1))</f>
        <v/>
      </c>
      <c r="F425" s="50"/>
      <c r="G425" s="45" t="str">
        <f t="shared" si="19"/>
        <v/>
      </c>
      <c r="H425" s="50"/>
      <c r="I425" s="45" t="str">
        <f t="shared" si="20"/>
        <v/>
      </c>
      <c r="J425" s="41"/>
    </row>
    <row r="426" spans="2:10" ht="39.950000000000003" customHeight="1" x14ac:dyDescent="0.25">
      <c r="B426" s="41"/>
      <c r="C426" s="42"/>
      <c r="D426" s="43" t="str">
        <f t="shared" si="18"/>
        <v/>
      </c>
      <c r="E426" s="44" t="str">
        <f>IF($C426="","",INDEX(Summary!$J$3:$J$7,MATCH($C426,TaskListLeads,FALSE),1))</f>
        <v/>
      </c>
      <c r="F426" s="50"/>
      <c r="G426" s="45" t="str">
        <f t="shared" si="19"/>
        <v/>
      </c>
      <c r="H426" s="50"/>
      <c r="I426" s="45" t="str">
        <f t="shared" si="20"/>
        <v/>
      </c>
      <c r="J426" s="41"/>
    </row>
    <row r="427" spans="2:10" ht="39.950000000000003" customHeight="1" x14ac:dyDescent="0.25">
      <c r="B427" s="41"/>
      <c r="C427" s="42"/>
      <c r="D427" s="43" t="str">
        <f t="shared" si="18"/>
        <v/>
      </c>
      <c r="E427" s="44" t="str">
        <f>IF($C427="","",INDEX(Summary!$J$3:$J$7,MATCH($C427,TaskListLeads,FALSE),1))</f>
        <v/>
      </c>
      <c r="F427" s="50"/>
      <c r="G427" s="45" t="str">
        <f t="shared" si="19"/>
        <v/>
      </c>
      <c r="H427" s="50"/>
      <c r="I427" s="45" t="str">
        <f t="shared" si="20"/>
        <v/>
      </c>
      <c r="J427" s="41"/>
    </row>
    <row r="428" spans="2:10" ht="39.950000000000003" customHeight="1" x14ac:dyDescent="0.25">
      <c r="B428" s="41"/>
      <c r="C428" s="42"/>
      <c r="D428" s="43" t="str">
        <f t="shared" si="18"/>
        <v/>
      </c>
      <c r="E428" s="44" t="str">
        <f>IF($C428="","",INDEX(Summary!$J$3:$J$7,MATCH($C428,TaskListLeads,FALSE),1))</f>
        <v/>
      </c>
      <c r="F428" s="50"/>
      <c r="G428" s="45" t="str">
        <f t="shared" si="19"/>
        <v/>
      </c>
      <c r="H428" s="50"/>
      <c r="I428" s="45" t="str">
        <f t="shared" si="20"/>
        <v/>
      </c>
      <c r="J428" s="41"/>
    </row>
    <row r="429" spans="2:10" ht="39.950000000000003" customHeight="1" x14ac:dyDescent="0.25">
      <c r="B429" s="41"/>
      <c r="C429" s="42"/>
      <c r="D429" s="43" t="str">
        <f t="shared" si="18"/>
        <v/>
      </c>
      <c r="E429" s="44" t="str">
        <f>IF($C429="","",INDEX(Summary!$J$3:$J$7,MATCH($C429,TaskListLeads,FALSE),1))</f>
        <v/>
      </c>
      <c r="F429" s="50"/>
      <c r="G429" s="45" t="str">
        <f t="shared" si="19"/>
        <v/>
      </c>
      <c r="H429" s="50"/>
      <c r="I429" s="45" t="str">
        <f t="shared" si="20"/>
        <v/>
      </c>
      <c r="J429" s="41"/>
    </row>
    <row r="430" spans="2:10" ht="39.950000000000003" customHeight="1" x14ac:dyDescent="0.25">
      <c r="B430" s="41"/>
      <c r="C430" s="42"/>
      <c r="D430" s="43" t="str">
        <f t="shared" si="18"/>
        <v/>
      </c>
      <c r="E430" s="44" t="str">
        <f>IF($C430="","",INDEX(Summary!$J$3:$J$7,MATCH($C430,TaskListLeads,FALSE),1))</f>
        <v/>
      </c>
      <c r="F430" s="50"/>
      <c r="G430" s="45" t="str">
        <f t="shared" si="19"/>
        <v/>
      </c>
      <c r="H430" s="50"/>
      <c r="I430" s="45" t="str">
        <f t="shared" si="20"/>
        <v/>
      </c>
      <c r="J430" s="41"/>
    </row>
    <row r="431" spans="2:10" ht="39.950000000000003" customHeight="1" x14ac:dyDescent="0.25">
      <c r="B431" s="41"/>
      <c r="C431" s="42"/>
      <c r="D431" s="43" t="str">
        <f t="shared" si="18"/>
        <v/>
      </c>
      <c r="E431" s="44" t="str">
        <f>IF($C431="","",INDEX(Summary!$J$3:$J$7,MATCH($C431,TaskListLeads,FALSE),1))</f>
        <v/>
      </c>
      <c r="F431" s="50"/>
      <c r="G431" s="45" t="str">
        <f t="shared" si="19"/>
        <v/>
      </c>
      <c r="H431" s="50"/>
      <c r="I431" s="45" t="str">
        <f t="shared" si="20"/>
        <v/>
      </c>
      <c r="J431" s="41"/>
    </row>
    <row r="432" spans="2:10" ht="39.950000000000003" customHeight="1" x14ac:dyDescent="0.25">
      <c r="B432" s="41"/>
      <c r="C432" s="42"/>
      <c r="D432" s="43" t="str">
        <f t="shared" si="18"/>
        <v/>
      </c>
      <c r="E432" s="44" t="str">
        <f>IF($C432="","",INDEX(Summary!$J$3:$J$7,MATCH($C432,TaskListLeads,FALSE),1))</f>
        <v/>
      </c>
      <c r="F432" s="50"/>
      <c r="G432" s="45" t="str">
        <f t="shared" si="19"/>
        <v/>
      </c>
      <c r="H432" s="50"/>
      <c r="I432" s="45" t="str">
        <f t="shared" si="20"/>
        <v/>
      </c>
      <c r="J432" s="41"/>
    </row>
    <row r="433" spans="2:10" ht="39.950000000000003" customHeight="1" x14ac:dyDescent="0.25">
      <c r="B433" s="41"/>
      <c r="C433" s="42"/>
      <c r="D433" s="43" t="str">
        <f t="shared" si="18"/>
        <v/>
      </c>
      <c r="E433" s="44" t="str">
        <f>IF($C433="","",INDEX(Summary!$J$3:$J$7,MATCH($C433,TaskListLeads,FALSE),1))</f>
        <v/>
      </c>
      <c r="F433" s="50"/>
      <c r="G433" s="45" t="str">
        <f t="shared" si="19"/>
        <v/>
      </c>
      <c r="H433" s="50"/>
      <c r="I433" s="45" t="str">
        <f t="shared" si="20"/>
        <v/>
      </c>
      <c r="J433" s="41"/>
    </row>
    <row r="434" spans="2:10" ht="39.950000000000003" customHeight="1" x14ac:dyDescent="0.25">
      <c r="B434" s="41"/>
      <c r="C434" s="42"/>
      <c r="D434" s="43" t="str">
        <f t="shared" si="18"/>
        <v/>
      </c>
      <c r="E434" s="44" t="str">
        <f>IF($C434="","",INDEX(Summary!$J$3:$J$7,MATCH($C434,TaskListLeads,FALSE),1))</f>
        <v/>
      </c>
      <c r="F434" s="50"/>
      <c r="G434" s="45" t="str">
        <f t="shared" si="19"/>
        <v/>
      </c>
      <c r="H434" s="50"/>
      <c r="I434" s="45" t="str">
        <f t="shared" si="20"/>
        <v/>
      </c>
      <c r="J434" s="41"/>
    </row>
    <row r="435" spans="2:10" ht="39.950000000000003" customHeight="1" x14ac:dyDescent="0.25">
      <c r="B435" s="41"/>
      <c r="C435" s="42"/>
      <c r="D435" s="43" t="str">
        <f t="shared" si="18"/>
        <v/>
      </c>
      <c r="E435" s="44" t="str">
        <f>IF($C435="","",INDEX(Summary!$J$3:$J$7,MATCH($C435,TaskListLeads,FALSE),1))</f>
        <v/>
      </c>
      <c r="F435" s="50"/>
      <c r="G435" s="45" t="str">
        <f t="shared" si="19"/>
        <v/>
      </c>
      <c r="H435" s="50"/>
      <c r="I435" s="45" t="str">
        <f t="shared" si="20"/>
        <v/>
      </c>
      <c r="J435" s="41"/>
    </row>
    <row r="436" spans="2:10" ht="39.950000000000003" customHeight="1" x14ac:dyDescent="0.25">
      <c r="B436" s="41"/>
      <c r="C436" s="42"/>
      <c r="D436" s="43" t="str">
        <f t="shared" si="18"/>
        <v/>
      </c>
      <c r="E436" s="44" t="str">
        <f>IF($C436="","",INDEX(Summary!$J$3:$J$7,MATCH($C436,TaskListLeads,FALSE),1))</f>
        <v/>
      </c>
      <c r="F436" s="50"/>
      <c r="G436" s="45" t="str">
        <f t="shared" si="19"/>
        <v/>
      </c>
      <c r="H436" s="50"/>
      <c r="I436" s="45" t="str">
        <f t="shared" si="20"/>
        <v/>
      </c>
      <c r="J436" s="41"/>
    </row>
    <row r="437" spans="2:10" ht="39.950000000000003" customHeight="1" x14ac:dyDescent="0.25">
      <c r="B437" s="41"/>
      <c r="C437" s="42"/>
      <c r="D437" s="43" t="str">
        <f t="shared" si="18"/>
        <v/>
      </c>
      <c r="E437" s="44" t="str">
        <f>IF($C437="","",INDEX(Summary!$J$3:$J$7,MATCH($C437,TaskListLeads,FALSE),1))</f>
        <v/>
      </c>
      <c r="F437" s="50"/>
      <c r="G437" s="45" t="str">
        <f t="shared" si="19"/>
        <v/>
      </c>
      <c r="H437" s="50"/>
      <c r="I437" s="45" t="str">
        <f t="shared" si="20"/>
        <v/>
      </c>
      <c r="J437" s="41"/>
    </row>
    <row r="438" spans="2:10" ht="39.950000000000003" customHeight="1" x14ac:dyDescent="0.25">
      <c r="B438" s="41"/>
      <c r="C438" s="42"/>
      <c r="D438" s="43" t="str">
        <f t="shared" si="18"/>
        <v/>
      </c>
      <c r="E438" s="44" t="str">
        <f>IF($C438="","",INDEX(Summary!$J$3:$J$7,MATCH($C438,TaskListLeads,FALSE),1))</f>
        <v/>
      </c>
      <c r="F438" s="50"/>
      <c r="G438" s="45" t="str">
        <f t="shared" si="19"/>
        <v/>
      </c>
      <c r="H438" s="50"/>
      <c r="I438" s="45" t="str">
        <f t="shared" si="20"/>
        <v/>
      </c>
      <c r="J438" s="41"/>
    </row>
    <row r="439" spans="2:10" ht="39.950000000000003" customHeight="1" x14ac:dyDescent="0.25">
      <c r="B439" s="41"/>
      <c r="C439" s="42"/>
      <c r="D439" s="43" t="str">
        <f t="shared" si="18"/>
        <v/>
      </c>
      <c r="E439" s="44" t="str">
        <f>IF($C439="","",INDEX(Summary!$J$3:$J$7,MATCH($C439,TaskListLeads,FALSE),1))</f>
        <v/>
      </c>
      <c r="F439" s="50"/>
      <c r="G439" s="45" t="str">
        <f t="shared" si="19"/>
        <v/>
      </c>
      <c r="H439" s="50"/>
      <c r="I439" s="45" t="str">
        <f t="shared" si="20"/>
        <v/>
      </c>
      <c r="J439" s="41"/>
    </row>
    <row r="440" spans="2:10" ht="39.950000000000003" customHeight="1" x14ac:dyDescent="0.25">
      <c r="B440" s="41"/>
      <c r="C440" s="42"/>
      <c r="D440" s="43" t="str">
        <f t="shared" si="18"/>
        <v/>
      </c>
      <c r="E440" s="44" t="str">
        <f>IF($C440="","",INDEX(Summary!$J$3:$J$7,MATCH($C440,TaskListLeads,FALSE),1))</f>
        <v/>
      </c>
      <c r="F440" s="50"/>
      <c r="G440" s="45" t="str">
        <f t="shared" si="19"/>
        <v/>
      </c>
      <c r="H440" s="50"/>
      <c r="I440" s="45" t="str">
        <f t="shared" si="20"/>
        <v/>
      </c>
      <c r="J440" s="41"/>
    </row>
    <row r="441" spans="2:10" ht="39.950000000000003" customHeight="1" x14ac:dyDescent="0.25">
      <c r="B441" s="41"/>
      <c r="C441" s="42"/>
      <c r="D441" s="43" t="str">
        <f t="shared" si="18"/>
        <v/>
      </c>
      <c r="E441" s="44" t="str">
        <f>IF($C441="","",INDEX(Summary!$J$3:$J$7,MATCH($C441,TaskListLeads,FALSE),1))</f>
        <v/>
      </c>
      <c r="F441" s="50"/>
      <c r="G441" s="45" t="str">
        <f t="shared" si="19"/>
        <v/>
      </c>
      <c r="H441" s="50"/>
      <c r="I441" s="45" t="str">
        <f t="shared" si="20"/>
        <v/>
      </c>
      <c r="J441" s="41"/>
    </row>
    <row r="442" spans="2:10" ht="39.950000000000003" customHeight="1" x14ac:dyDescent="0.25">
      <c r="B442" s="41"/>
      <c r="C442" s="42"/>
      <c r="D442" s="43" t="str">
        <f t="shared" si="18"/>
        <v/>
      </c>
      <c r="E442" s="44" t="str">
        <f>IF($C442="","",INDEX(Summary!$J$3:$J$7,MATCH($C442,TaskListLeads,FALSE),1))</f>
        <v/>
      </c>
      <c r="F442" s="50"/>
      <c r="G442" s="45" t="str">
        <f t="shared" si="19"/>
        <v/>
      </c>
      <c r="H442" s="50"/>
      <c r="I442" s="45" t="str">
        <f t="shared" si="20"/>
        <v/>
      </c>
      <c r="J442" s="41"/>
    </row>
    <row r="443" spans="2:10" ht="39.950000000000003" customHeight="1" x14ac:dyDescent="0.25">
      <c r="B443" s="41"/>
      <c r="C443" s="42"/>
      <c r="D443" s="43" t="str">
        <f t="shared" si="18"/>
        <v/>
      </c>
      <c r="E443" s="44" t="str">
        <f>IF($C443="","",INDEX(Summary!$J$3:$J$7,MATCH($C443,TaskListLeads,FALSE),1))</f>
        <v/>
      </c>
      <c r="F443" s="50"/>
      <c r="G443" s="45" t="str">
        <f t="shared" si="19"/>
        <v/>
      </c>
      <c r="H443" s="50"/>
      <c r="I443" s="45" t="str">
        <f t="shared" si="20"/>
        <v/>
      </c>
      <c r="J443" s="41"/>
    </row>
    <row r="444" spans="2:10" ht="39.950000000000003" customHeight="1" x14ac:dyDescent="0.25">
      <c r="B444" s="41"/>
      <c r="C444" s="42"/>
      <c r="D444" s="43" t="str">
        <f t="shared" si="18"/>
        <v/>
      </c>
      <c r="E444" s="44" t="str">
        <f>IF($C444="","",INDEX(Summary!$J$3:$J$7,MATCH($C444,TaskListLeads,FALSE),1))</f>
        <v/>
      </c>
      <c r="F444" s="50"/>
      <c r="G444" s="45" t="str">
        <f t="shared" si="19"/>
        <v/>
      </c>
      <c r="H444" s="50"/>
      <c r="I444" s="45" t="str">
        <f t="shared" si="20"/>
        <v/>
      </c>
      <c r="J444" s="41"/>
    </row>
    <row r="445" spans="2:10" ht="39.950000000000003" customHeight="1" x14ac:dyDescent="0.25">
      <c r="B445" s="41"/>
      <c r="C445" s="42"/>
      <c r="D445" s="43" t="str">
        <f t="shared" si="18"/>
        <v/>
      </c>
      <c r="E445" s="44" t="str">
        <f>IF($C445="","",INDEX(Summary!$J$3:$J$7,MATCH($C445,TaskListLeads,FALSE),1))</f>
        <v/>
      </c>
      <c r="F445" s="50"/>
      <c r="G445" s="45" t="str">
        <f t="shared" si="19"/>
        <v/>
      </c>
      <c r="H445" s="50"/>
      <c r="I445" s="45" t="str">
        <f t="shared" si="20"/>
        <v/>
      </c>
      <c r="J445" s="41"/>
    </row>
    <row r="446" spans="2:10" ht="39.950000000000003" customHeight="1" x14ac:dyDescent="0.25">
      <c r="B446" s="41"/>
      <c r="C446" s="42"/>
      <c r="D446" s="43" t="str">
        <f t="shared" si="18"/>
        <v/>
      </c>
      <c r="E446" s="44" t="str">
        <f>IF($C446="","",INDEX(Summary!$J$3:$J$7,MATCH($C446,TaskListLeads,FALSE),1))</f>
        <v/>
      </c>
      <c r="F446" s="50"/>
      <c r="G446" s="45" t="str">
        <f t="shared" si="19"/>
        <v/>
      </c>
      <c r="H446" s="50"/>
      <c r="I446" s="45" t="str">
        <f t="shared" si="20"/>
        <v/>
      </c>
      <c r="J446" s="41"/>
    </row>
    <row r="447" spans="2:10" ht="39.950000000000003" customHeight="1" x14ac:dyDescent="0.25">
      <c r="B447" s="41"/>
      <c r="C447" s="42"/>
      <c r="D447" s="43" t="str">
        <f t="shared" si="18"/>
        <v/>
      </c>
      <c r="E447" s="44" t="str">
        <f>IF($C447="","",INDEX(Summary!$J$3:$J$7,MATCH($C447,TaskListLeads,FALSE),1))</f>
        <v/>
      </c>
      <c r="F447" s="50"/>
      <c r="G447" s="45" t="str">
        <f t="shared" si="19"/>
        <v/>
      </c>
      <c r="H447" s="50"/>
      <c r="I447" s="45" t="str">
        <f t="shared" si="20"/>
        <v/>
      </c>
      <c r="J447" s="41"/>
    </row>
    <row r="448" spans="2:10" ht="39.950000000000003" customHeight="1" x14ac:dyDescent="0.25">
      <c r="B448" s="41"/>
      <c r="C448" s="42"/>
      <c r="D448" s="43" t="str">
        <f t="shared" si="18"/>
        <v/>
      </c>
      <c r="E448" s="44" t="str">
        <f>IF($C448="","",INDEX(Summary!$J$3:$J$7,MATCH($C448,TaskListLeads,FALSE),1))</f>
        <v/>
      </c>
      <c r="F448" s="50"/>
      <c r="G448" s="45" t="str">
        <f t="shared" si="19"/>
        <v/>
      </c>
      <c r="H448" s="50"/>
      <c r="I448" s="45" t="str">
        <f t="shared" si="20"/>
        <v/>
      </c>
      <c r="J448" s="41"/>
    </row>
    <row r="449" spans="2:10" ht="39.950000000000003" customHeight="1" x14ac:dyDescent="0.25">
      <c r="B449" s="41"/>
      <c r="C449" s="42"/>
      <c r="D449" s="43" t="str">
        <f t="shared" si="18"/>
        <v/>
      </c>
      <c r="E449" s="44" t="str">
        <f>IF($C449="","",INDEX(Summary!$J$3:$J$7,MATCH($C449,TaskListLeads,FALSE),1))</f>
        <v/>
      </c>
      <c r="F449" s="50"/>
      <c r="G449" s="45" t="str">
        <f t="shared" si="19"/>
        <v/>
      </c>
      <c r="H449" s="50"/>
      <c r="I449" s="45" t="str">
        <f t="shared" si="20"/>
        <v/>
      </c>
      <c r="J449" s="41"/>
    </row>
    <row r="450" spans="2:10" ht="39.950000000000003" customHeight="1" x14ac:dyDescent="0.25">
      <c r="B450" s="41"/>
      <c r="C450" s="42"/>
      <c r="D450" s="43" t="str">
        <f t="shared" si="18"/>
        <v/>
      </c>
      <c r="E450" s="44" t="str">
        <f>IF($C450="","",INDEX(Summary!$J$3:$J$7,MATCH($C450,TaskListLeads,FALSE),1))</f>
        <v/>
      </c>
      <c r="F450" s="50"/>
      <c r="G450" s="45" t="str">
        <f t="shared" si="19"/>
        <v/>
      </c>
      <c r="H450" s="50"/>
      <c r="I450" s="45" t="str">
        <f t="shared" si="20"/>
        <v/>
      </c>
      <c r="J450" s="41"/>
    </row>
    <row r="451" spans="2:10" ht="39.950000000000003" customHeight="1" x14ac:dyDescent="0.25">
      <c r="B451" s="41"/>
      <c r="C451" s="42"/>
      <c r="D451" s="43" t="str">
        <f t="shared" si="18"/>
        <v/>
      </c>
      <c r="E451" s="44" t="str">
        <f>IF($C451="","",INDEX(Summary!$J$3:$J$7,MATCH($C451,TaskListLeads,FALSE),1))</f>
        <v/>
      </c>
      <c r="F451" s="50"/>
      <c r="G451" s="45" t="str">
        <f t="shared" si="19"/>
        <v/>
      </c>
      <c r="H451" s="50"/>
      <c r="I451" s="45" t="str">
        <f t="shared" si="20"/>
        <v/>
      </c>
      <c r="J451" s="41"/>
    </row>
    <row r="452" spans="2:10" ht="39.950000000000003" customHeight="1" x14ac:dyDescent="0.25">
      <c r="B452" s="41"/>
      <c r="C452" s="42"/>
      <c r="D452" s="43" t="str">
        <f t="shared" si="18"/>
        <v/>
      </c>
      <c r="E452" s="44" t="str">
        <f>IF($C452="","",INDEX(Summary!$J$3:$J$7,MATCH($C452,TaskListLeads,FALSE),1))</f>
        <v/>
      </c>
      <c r="F452" s="50"/>
      <c r="G452" s="45" t="str">
        <f t="shared" si="19"/>
        <v/>
      </c>
      <c r="H452" s="50"/>
      <c r="I452" s="45" t="str">
        <f t="shared" si="20"/>
        <v/>
      </c>
      <c r="J452" s="41"/>
    </row>
    <row r="453" spans="2:10" ht="39.950000000000003" customHeight="1" x14ac:dyDescent="0.25">
      <c r="B453" s="41"/>
      <c r="C453" s="42"/>
      <c r="D453" s="43" t="str">
        <f t="shared" si="18"/>
        <v/>
      </c>
      <c r="E453" s="44" t="str">
        <f>IF($C453="","",INDEX(Summary!$J$3:$J$7,MATCH($C453,TaskListLeads,FALSE),1))</f>
        <v/>
      </c>
      <c r="F453" s="50"/>
      <c r="G453" s="45" t="str">
        <f t="shared" si="19"/>
        <v/>
      </c>
      <c r="H453" s="50"/>
      <c r="I453" s="45" t="str">
        <f t="shared" si="20"/>
        <v/>
      </c>
      <c r="J453" s="41"/>
    </row>
    <row r="454" spans="2:10" ht="39.950000000000003" customHeight="1" x14ac:dyDescent="0.25">
      <c r="B454" s="41"/>
      <c r="C454" s="42"/>
      <c r="D454" s="43" t="str">
        <f t="shared" si="18"/>
        <v/>
      </c>
      <c r="E454" s="44" t="str">
        <f>IF($C454="","",INDEX(Summary!$J$3:$J$7,MATCH($C454,TaskListLeads,FALSE),1))</f>
        <v/>
      </c>
      <c r="F454" s="50"/>
      <c r="G454" s="45" t="str">
        <f t="shared" si="19"/>
        <v/>
      </c>
      <c r="H454" s="50"/>
      <c r="I454" s="45" t="str">
        <f t="shared" si="20"/>
        <v/>
      </c>
      <c r="J454" s="41"/>
    </row>
    <row r="455" spans="2:10" ht="39.950000000000003" customHeight="1" x14ac:dyDescent="0.25">
      <c r="B455" s="41"/>
      <c r="C455" s="42"/>
      <c r="D455" s="43" t="str">
        <f t="shared" si="18"/>
        <v/>
      </c>
      <c r="E455" s="44" t="str">
        <f>IF($C455="","",INDEX(Summary!$J$3:$J$7,MATCH($C455,TaskListLeads,FALSE),1))</f>
        <v/>
      </c>
      <c r="F455" s="50"/>
      <c r="G455" s="45" t="str">
        <f t="shared" si="19"/>
        <v/>
      </c>
      <c r="H455" s="50"/>
      <c r="I455" s="45" t="str">
        <f t="shared" si="20"/>
        <v/>
      </c>
      <c r="J455" s="41"/>
    </row>
    <row r="456" spans="2:10" ht="39.950000000000003" customHeight="1" x14ac:dyDescent="0.25">
      <c r="B456" s="41"/>
      <c r="C456" s="42"/>
      <c r="D456" s="43" t="str">
        <f t="shared" si="18"/>
        <v/>
      </c>
      <c r="E456" s="44" t="str">
        <f>IF($C456="","",INDEX(Summary!$J$3:$J$7,MATCH($C456,TaskListLeads,FALSE),1))</f>
        <v/>
      </c>
      <c r="F456" s="50"/>
      <c r="G456" s="45" t="str">
        <f t="shared" si="19"/>
        <v/>
      </c>
      <c r="H456" s="50"/>
      <c r="I456" s="45" t="str">
        <f t="shared" si="20"/>
        <v/>
      </c>
      <c r="J456" s="41"/>
    </row>
    <row r="457" spans="2:10" ht="39.950000000000003" customHeight="1" x14ac:dyDescent="0.25">
      <c r="B457" s="41"/>
      <c r="C457" s="42"/>
      <c r="D457" s="43" t="str">
        <f t="shared" si="18"/>
        <v/>
      </c>
      <c r="E457" s="44" t="str">
        <f>IF($C457="","",INDEX(Summary!$J$3:$J$7,MATCH($C457,TaskListLeads,FALSE),1))</f>
        <v/>
      </c>
      <c r="F457" s="50"/>
      <c r="G457" s="45" t="str">
        <f t="shared" si="19"/>
        <v/>
      </c>
      <c r="H457" s="50"/>
      <c r="I457" s="45" t="str">
        <f t="shared" si="20"/>
        <v/>
      </c>
      <c r="J457" s="41"/>
    </row>
    <row r="458" spans="2:10" ht="39.950000000000003" customHeight="1" x14ac:dyDescent="0.25">
      <c r="B458" s="41"/>
      <c r="C458" s="42"/>
      <c r="D458" s="43" t="str">
        <f t="shared" si="18"/>
        <v/>
      </c>
      <c r="E458" s="44" t="str">
        <f>IF($C458="","",INDEX(Summary!$J$3:$J$7,MATCH($C458,TaskListLeads,FALSE),1))</f>
        <v/>
      </c>
      <c r="F458" s="50"/>
      <c r="G458" s="45" t="str">
        <f t="shared" si="19"/>
        <v/>
      </c>
      <c r="H458" s="50"/>
      <c r="I458" s="45" t="str">
        <f t="shared" si="20"/>
        <v/>
      </c>
      <c r="J458" s="41"/>
    </row>
    <row r="459" spans="2:10" ht="39.950000000000003" customHeight="1" x14ac:dyDescent="0.25">
      <c r="B459" s="41"/>
      <c r="C459" s="42"/>
      <c r="D459" s="43" t="str">
        <f t="shared" ref="D459:D522" si="21">IF($C459="","",INDEX(TaskListCostCentres,MATCH($C459,TaskListLeads,FALSE),1))</f>
        <v/>
      </c>
      <c r="E459" s="44" t="str">
        <f>IF($C459="","",INDEX(Summary!$J$3:$J$7,MATCH($C459,TaskListLeads,FALSE),1))</f>
        <v/>
      </c>
      <c r="F459" s="50"/>
      <c r="G459" s="45" t="str">
        <f t="shared" ref="G459:G522" si="22">IF($F459="","",INDEX(ControlWeeksOf,MATCH($F459,ControlWeeksOf,TRUE),1))</f>
        <v/>
      </c>
      <c r="H459" s="50"/>
      <c r="I459" s="45" t="str">
        <f t="shared" ref="I459:I522" si="23">IF($H459="","",INDEX(ControlWeeksOf,MATCH($H459,ControlWeeksOf,TRUE),1))</f>
        <v/>
      </c>
      <c r="J459" s="41"/>
    </row>
    <row r="460" spans="2:10" ht="39.950000000000003" customHeight="1" x14ac:dyDescent="0.25">
      <c r="B460" s="41"/>
      <c r="C460" s="42"/>
      <c r="D460" s="43" t="str">
        <f t="shared" si="21"/>
        <v/>
      </c>
      <c r="E460" s="44" t="str">
        <f>IF($C460="","",INDEX(Summary!$J$3:$J$7,MATCH($C460,TaskListLeads,FALSE),1))</f>
        <v/>
      </c>
      <c r="F460" s="50"/>
      <c r="G460" s="45" t="str">
        <f t="shared" si="22"/>
        <v/>
      </c>
      <c r="H460" s="50"/>
      <c r="I460" s="45" t="str">
        <f t="shared" si="23"/>
        <v/>
      </c>
      <c r="J460" s="41"/>
    </row>
    <row r="461" spans="2:10" ht="39.950000000000003" customHeight="1" x14ac:dyDescent="0.25">
      <c r="B461" s="41"/>
      <c r="C461" s="42"/>
      <c r="D461" s="43" t="str">
        <f t="shared" si="21"/>
        <v/>
      </c>
      <c r="E461" s="44" t="str">
        <f>IF($C461="","",INDEX(Summary!$J$3:$J$7,MATCH($C461,TaskListLeads,FALSE),1))</f>
        <v/>
      </c>
      <c r="F461" s="50"/>
      <c r="G461" s="45" t="str">
        <f t="shared" si="22"/>
        <v/>
      </c>
      <c r="H461" s="50"/>
      <c r="I461" s="45" t="str">
        <f t="shared" si="23"/>
        <v/>
      </c>
      <c r="J461" s="41"/>
    </row>
    <row r="462" spans="2:10" ht="39.950000000000003" customHeight="1" x14ac:dyDescent="0.25">
      <c r="B462" s="41"/>
      <c r="C462" s="42"/>
      <c r="D462" s="43" t="str">
        <f t="shared" si="21"/>
        <v/>
      </c>
      <c r="E462" s="44" t="str">
        <f>IF($C462="","",INDEX(Summary!$J$3:$J$7,MATCH($C462,TaskListLeads,FALSE),1))</f>
        <v/>
      </c>
      <c r="F462" s="50"/>
      <c r="G462" s="45" t="str">
        <f t="shared" si="22"/>
        <v/>
      </c>
      <c r="H462" s="50"/>
      <c r="I462" s="45" t="str">
        <f t="shared" si="23"/>
        <v/>
      </c>
      <c r="J462" s="41"/>
    </row>
    <row r="463" spans="2:10" ht="39.950000000000003" customHeight="1" x14ac:dyDescent="0.25">
      <c r="B463" s="41"/>
      <c r="C463" s="42"/>
      <c r="D463" s="43" t="str">
        <f t="shared" si="21"/>
        <v/>
      </c>
      <c r="E463" s="44" t="str">
        <f>IF($C463="","",INDEX(Summary!$J$3:$J$7,MATCH($C463,TaskListLeads,FALSE),1))</f>
        <v/>
      </c>
      <c r="F463" s="50"/>
      <c r="G463" s="45" t="str">
        <f t="shared" si="22"/>
        <v/>
      </c>
      <c r="H463" s="50"/>
      <c r="I463" s="45" t="str">
        <f t="shared" si="23"/>
        <v/>
      </c>
      <c r="J463" s="41"/>
    </row>
    <row r="464" spans="2:10" ht="39.950000000000003" customHeight="1" x14ac:dyDescent="0.25">
      <c r="B464" s="41"/>
      <c r="C464" s="42"/>
      <c r="D464" s="43" t="str">
        <f t="shared" si="21"/>
        <v/>
      </c>
      <c r="E464" s="44" t="str">
        <f>IF($C464="","",INDEX(Summary!$J$3:$J$7,MATCH($C464,TaskListLeads,FALSE),1))</f>
        <v/>
      </c>
      <c r="F464" s="50"/>
      <c r="G464" s="45" t="str">
        <f t="shared" si="22"/>
        <v/>
      </c>
      <c r="H464" s="50"/>
      <c r="I464" s="45" t="str">
        <f t="shared" si="23"/>
        <v/>
      </c>
      <c r="J464" s="41"/>
    </row>
    <row r="465" spans="2:10" ht="39.950000000000003" customHeight="1" x14ac:dyDescent="0.25">
      <c r="B465" s="41"/>
      <c r="C465" s="42"/>
      <c r="D465" s="43" t="str">
        <f t="shared" si="21"/>
        <v/>
      </c>
      <c r="E465" s="44" t="str">
        <f>IF($C465="","",INDEX(Summary!$J$3:$J$7,MATCH($C465,TaskListLeads,FALSE),1))</f>
        <v/>
      </c>
      <c r="F465" s="50"/>
      <c r="G465" s="45" t="str">
        <f t="shared" si="22"/>
        <v/>
      </c>
      <c r="H465" s="50"/>
      <c r="I465" s="45" t="str">
        <f t="shared" si="23"/>
        <v/>
      </c>
      <c r="J465" s="41"/>
    </row>
    <row r="466" spans="2:10" ht="39.950000000000003" customHeight="1" x14ac:dyDescent="0.25">
      <c r="B466" s="41"/>
      <c r="C466" s="42"/>
      <c r="D466" s="43" t="str">
        <f t="shared" si="21"/>
        <v/>
      </c>
      <c r="E466" s="44" t="str">
        <f>IF($C466="","",INDEX(Summary!$J$3:$J$7,MATCH($C466,TaskListLeads,FALSE),1))</f>
        <v/>
      </c>
      <c r="F466" s="50"/>
      <c r="G466" s="45" t="str">
        <f t="shared" si="22"/>
        <v/>
      </c>
      <c r="H466" s="50"/>
      <c r="I466" s="45" t="str">
        <f t="shared" si="23"/>
        <v/>
      </c>
      <c r="J466" s="41"/>
    </row>
    <row r="467" spans="2:10" ht="39.950000000000003" customHeight="1" x14ac:dyDescent="0.25">
      <c r="B467" s="41"/>
      <c r="C467" s="42"/>
      <c r="D467" s="43" t="str">
        <f t="shared" si="21"/>
        <v/>
      </c>
      <c r="E467" s="44" t="str">
        <f>IF($C467="","",INDEX(Summary!$J$3:$J$7,MATCH($C467,TaskListLeads,FALSE),1))</f>
        <v/>
      </c>
      <c r="F467" s="50"/>
      <c r="G467" s="45" t="str">
        <f t="shared" si="22"/>
        <v/>
      </c>
      <c r="H467" s="50"/>
      <c r="I467" s="45" t="str">
        <f t="shared" si="23"/>
        <v/>
      </c>
      <c r="J467" s="41"/>
    </row>
    <row r="468" spans="2:10" ht="39.950000000000003" customHeight="1" x14ac:dyDescent="0.25">
      <c r="B468" s="41"/>
      <c r="C468" s="42"/>
      <c r="D468" s="43" t="str">
        <f t="shared" si="21"/>
        <v/>
      </c>
      <c r="E468" s="44" t="str">
        <f>IF($C468="","",INDEX(Summary!$J$3:$J$7,MATCH($C468,TaskListLeads,FALSE),1))</f>
        <v/>
      </c>
      <c r="F468" s="50"/>
      <c r="G468" s="45" t="str">
        <f t="shared" si="22"/>
        <v/>
      </c>
      <c r="H468" s="50"/>
      <c r="I468" s="45" t="str">
        <f t="shared" si="23"/>
        <v/>
      </c>
      <c r="J468" s="41"/>
    </row>
    <row r="469" spans="2:10" ht="39.950000000000003" customHeight="1" x14ac:dyDescent="0.25">
      <c r="B469" s="41"/>
      <c r="C469" s="42"/>
      <c r="D469" s="43" t="str">
        <f t="shared" si="21"/>
        <v/>
      </c>
      <c r="E469" s="44" t="str">
        <f>IF($C469="","",INDEX(Summary!$J$3:$J$7,MATCH($C469,TaskListLeads,FALSE),1))</f>
        <v/>
      </c>
      <c r="F469" s="50"/>
      <c r="G469" s="45" t="str">
        <f t="shared" si="22"/>
        <v/>
      </c>
      <c r="H469" s="50"/>
      <c r="I469" s="45" t="str">
        <f t="shared" si="23"/>
        <v/>
      </c>
      <c r="J469" s="41"/>
    </row>
    <row r="470" spans="2:10" ht="39.950000000000003" customHeight="1" x14ac:dyDescent="0.25">
      <c r="B470" s="41"/>
      <c r="C470" s="42"/>
      <c r="D470" s="43" t="str">
        <f t="shared" si="21"/>
        <v/>
      </c>
      <c r="E470" s="44" t="str">
        <f>IF($C470="","",INDEX(Summary!$J$3:$J$7,MATCH($C470,TaskListLeads,FALSE),1))</f>
        <v/>
      </c>
      <c r="F470" s="50"/>
      <c r="G470" s="45" t="str">
        <f t="shared" si="22"/>
        <v/>
      </c>
      <c r="H470" s="50"/>
      <c r="I470" s="45" t="str">
        <f t="shared" si="23"/>
        <v/>
      </c>
      <c r="J470" s="41"/>
    </row>
    <row r="471" spans="2:10" ht="39.950000000000003" customHeight="1" x14ac:dyDescent="0.25">
      <c r="B471" s="41"/>
      <c r="C471" s="42"/>
      <c r="D471" s="43" t="str">
        <f t="shared" si="21"/>
        <v/>
      </c>
      <c r="E471" s="44" t="str">
        <f>IF($C471="","",INDEX(Summary!$J$3:$J$7,MATCH($C471,TaskListLeads,FALSE),1))</f>
        <v/>
      </c>
      <c r="F471" s="50"/>
      <c r="G471" s="45" t="str">
        <f t="shared" si="22"/>
        <v/>
      </c>
      <c r="H471" s="50"/>
      <c r="I471" s="45" t="str">
        <f t="shared" si="23"/>
        <v/>
      </c>
      <c r="J471" s="41"/>
    </row>
    <row r="472" spans="2:10" ht="39.950000000000003" customHeight="1" x14ac:dyDescent="0.25">
      <c r="B472" s="41"/>
      <c r="C472" s="42"/>
      <c r="D472" s="43" t="str">
        <f t="shared" si="21"/>
        <v/>
      </c>
      <c r="E472" s="44" t="str">
        <f>IF($C472="","",INDEX(Summary!$J$3:$J$7,MATCH($C472,TaskListLeads,FALSE),1))</f>
        <v/>
      </c>
      <c r="F472" s="50"/>
      <c r="G472" s="45" t="str">
        <f t="shared" si="22"/>
        <v/>
      </c>
      <c r="H472" s="50"/>
      <c r="I472" s="45" t="str">
        <f t="shared" si="23"/>
        <v/>
      </c>
      <c r="J472" s="41"/>
    </row>
    <row r="473" spans="2:10" ht="39.950000000000003" customHeight="1" x14ac:dyDescent="0.25">
      <c r="B473" s="41"/>
      <c r="C473" s="42"/>
      <c r="D473" s="43" t="str">
        <f t="shared" si="21"/>
        <v/>
      </c>
      <c r="E473" s="44" t="str">
        <f>IF($C473="","",INDEX(Summary!$J$3:$J$7,MATCH($C473,TaskListLeads,FALSE),1))</f>
        <v/>
      </c>
      <c r="F473" s="50"/>
      <c r="G473" s="45" t="str">
        <f t="shared" si="22"/>
        <v/>
      </c>
      <c r="H473" s="50"/>
      <c r="I473" s="45" t="str">
        <f t="shared" si="23"/>
        <v/>
      </c>
      <c r="J473" s="41"/>
    </row>
    <row r="474" spans="2:10" ht="39.950000000000003" customHeight="1" x14ac:dyDescent="0.25">
      <c r="B474" s="41"/>
      <c r="C474" s="42"/>
      <c r="D474" s="43" t="str">
        <f t="shared" si="21"/>
        <v/>
      </c>
      <c r="E474" s="44" t="str">
        <f>IF($C474="","",INDEX(Summary!$J$3:$J$7,MATCH($C474,TaskListLeads,FALSE),1))</f>
        <v/>
      </c>
      <c r="F474" s="50"/>
      <c r="G474" s="45" t="str">
        <f t="shared" si="22"/>
        <v/>
      </c>
      <c r="H474" s="50"/>
      <c r="I474" s="45" t="str">
        <f t="shared" si="23"/>
        <v/>
      </c>
      <c r="J474" s="41"/>
    </row>
    <row r="475" spans="2:10" ht="39.950000000000003" customHeight="1" x14ac:dyDescent="0.25">
      <c r="B475" s="41"/>
      <c r="C475" s="42"/>
      <c r="D475" s="43" t="str">
        <f t="shared" si="21"/>
        <v/>
      </c>
      <c r="E475" s="44" t="str">
        <f>IF($C475="","",INDEX(Summary!$J$3:$J$7,MATCH($C475,TaskListLeads,FALSE),1))</f>
        <v/>
      </c>
      <c r="F475" s="50"/>
      <c r="G475" s="45" t="str">
        <f t="shared" si="22"/>
        <v/>
      </c>
      <c r="H475" s="50"/>
      <c r="I475" s="45" t="str">
        <f t="shared" si="23"/>
        <v/>
      </c>
      <c r="J475" s="41"/>
    </row>
    <row r="476" spans="2:10" ht="39.950000000000003" customHeight="1" x14ac:dyDescent="0.25">
      <c r="B476" s="41"/>
      <c r="C476" s="42"/>
      <c r="D476" s="43" t="str">
        <f t="shared" si="21"/>
        <v/>
      </c>
      <c r="E476" s="44" t="str">
        <f>IF($C476="","",INDEX(Summary!$J$3:$J$7,MATCH($C476,TaskListLeads,FALSE),1))</f>
        <v/>
      </c>
      <c r="F476" s="50"/>
      <c r="G476" s="45" t="str">
        <f t="shared" si="22"/>
        <v/>
      </c>
      <c r="H476" s="50"/>
      <c r="I476" s="45" t="str">
        <f t="shared" si="23"/>
        <v/>
      </c>
      <c r="J476" s="41"/>
    </row>
    <row r="477" spans="2:10" ht="39.950000000000003" customHeight="1" x14ac:dyDescent="0.25">
      <c r="B477" s="41"/>
      <c r="C477" s="42"/>
      <c r="D477" s="43" t="str">
        <f t="shared" si="21"/>
        <v/>
      </c>
      <c r="E477" s="44" t="str">
        <f>IF($C477="","",INDEX(Summary!$J$3:$J$7,MATCH($C477,TaskListLeads,FALSE),1))</f>
        <v/>
      </c>
      <c r="F477" s="50"/>
      <c r="G477" s="45" t="str">
        <f t="shared" si="22"/>
        <v/>
      </c>
      <c r="H477" s="50"/>
      <c r="I477" s="45" t="str">
        <f t="shared" si="23"/>
        <v/>
      </c>
      <c r="J477" s="41"/>
    </row>
    <row r="478" spans="2:10" ht="39.950000000000003" customHeight="1" x14ac:dyDescent="0.25">
      <c r="B478" s="41"/>
      <c r="C478" s="42"/>
      <c r="D478" s="43" t="str">
        <f t="shared" si="21"/>
        <v/>
      </c>
      <c r="E478" s="44" t="str">
        <f>IF($C478="","",INDEX(Summary!$J$3:$J$7,MATCH($C478,TaskListLeads,FALSE),1))</f>
        <v/>
      </c>
      <c r="F478" s="50"/>
      <c r="G478" s="45" t="str">
        <f t="shared" si="22"/>
        <v/>
      </c>
      <c r="H478" s="50"/>
      <c r="I478" s="45" t="str">
        <f t="shared" si="23"/>
        <v/>
      </c>
      <c r="J478" s="41"/>
    </row>
    <row r="479" spans="2:10" ht="39.950000000000003" customHeight="1" x14ac:dyDescent="0.25">
      <c r="B479" s="41"/>
      <c r="C479" s="42"/>
      <c r="D479" s="43" t="str">
        <f t="shared" si="21"/>
        <v/>
      </c>
      <c r="E479" s="44" t="str">
        <f>IF($C479="","",INDEX(Summary!$J$3:$J$7,MATCH($C479,TaskListLeads,FALSE),1))</f>
        <v/>
      </c>
      <c r="F479" s="50"/>
      <c r="G479" s="45" t="str">
        <f t="shared" si="22"/>
        <v/>
      </c>
      <c r="H479" s="50"/>
      <c r="I479" s="45" t="str">
        <f t="shared" si="23"/>
        <v/>
      </c>
      <c r="J479" s="41"/>
    </row>
    <row r="480" spans="2:10" ht="39.950000000000003" customHeight="1" x14ac:dyDescent="0.25">
      <c r="B480" s="41"/>
      <c r="C480" s="42"/>
      <c r="D480" s="43" t="str">
        <f t="shared" si="21"/>
        <v/>
      </c>
      <c r="E480" s="44" t="str">
        <f>IF($C480="","",INDEX(Summary!$J$3:$J$7,MATCH($C480,TaskListLeads,FALSE),1))</f>
        <v/>
      </c>
      <c r="F480" s="50"/>
      <c r="G480" s="45" t="str">
        <f t="shared" si="22"/>
        <v/>
      </c>
      <c r="H480" s="50"/>
      <c r="I480" s="45" t="str">
        <f t="shared" si="23"/>
        <v/>
      </c>
      <c r="J480" s="41"/>
    </row>
    <row r="481" spans="2:10" ht="39.950000000000003" customHeight="1" x14ac:dyDescent="0.25">
      <c r="B481" s="41"/>
      <c r="C481" s="42"/>
      <c r="D481" s="43" t="str">
        <f t="shared" si="21"/>
        <v/>
      </c>
      <c r="E481" s="44" t="str">
        <f>IF($C481="","",INDEX(Summary!$J$3:$J$7,MATCH($C481,TaskListLeads,FALSE),1))</f>
        <v/>
      </c>
      <c r="F481" s="50"/>
      <c r="G481" s="45" t="str">
        <f t="shared" si="22"/>
        <v/>
      </c>
      <c r="H481" s="50"/>
      <c r="I481" s="45" t="str">
        <f t="shared" si="23"/>
        <v/>
      </c>
      <c r="J481" s="41"/>
    </row>
    <row r="482" spans="2:10" ht="39.950000000000003" customHeight="1" x14ac:dyDescent="0.25">
      <c r="B482" s="41"/>
      <c r="C482" s="42"/>
      <c r="D482" s="43" t="str">
        <f t="shared" si="21"/>
        <v/>
      </c>
      <c r="E482" s="44" t="str">
        <f>IF($C482="","",INDEX(Summary!$J$3:$J$7,MATCH($C482,TaskListLeads,FALSE),1))</f>
        <v/>
      </c>
      <c r="F482" s="50"/>
      <c r="G482" s="45" t="str">
        <f t="shared" si="22"/>
        <v/>
      </c>
      <c r="H482" s="50"/>
      <c r="I482" s="45" t="str">
        <f t="shared" si="23"/>
        <v/>
      </c>
      <c r="J482" s="41"/>
    </row>
    <row r="483" spans="2:10" ht="39.950000000000003" customHeight="1" x14ac:dyDescent="0.25">
      <c r="B483" s="41"/>
      <c r="C483" s="42"/>
      <c r="D483" s="43" t="str">
        <f t="shared" si="21"/>
        <v/>
      </c>
      <c r="E483" s="44" t="str">
        <f>IF($C483="","",INDEX(Summary!$J$3:$J$7,MATCH($C483,TaskListLeads,FALSE),1))</f>
        <v/>
      </c>
      <c r="F483" s="50"/>
      <c r="G483" s="45" t="str">
        <f t="shared" si="22"/>
        <v/>
      </c>
      <c r="H483" s="50"/>
      <c r="I483" s="45" t="str">
        <f t="shared" si="23"/>
        <v/>
      </c>
      <c r="J483" s="41"/>
    </row>
    <row r="484" spans="2:10" ht="39.950000000000003" customHeight="1" x14ac:dyDescent="0.25">
      <c r="B484" s="41"/>
      <c r="C484" s="42"/>
      <c r="D484" s="43" t="str">
        <f t="shared" si="21"/>
        <v/>
      </c>
      <c r="E484" s="44" t="str">
        <f>IF($C484="","",INDEX(Summary!$J$3:$J$7,MATCH($C484,TaskListLeads,FALSE),1))</f>
        <v/>
      </c>
      <c r="F484" s="50"/>
      <c r="G484" s="45" t="str">
        <f t="shared" si="22"/>
        <v/>
      </c>
      <c r="H484" s="50"/>
      <c r="I484" s="45" t="str">
        <f t="shared" si="23"/>
        <v/>
      </c>
      <c r="J484" s="41"/>
    </row>
    <row r="485" spans="2:10" ht="39.950000000000003" customHeight="1" x14ac:dyDescent="0.25">
      <c r="B485" s="41"/>
      <c r="C485" s="42"/>
      <c r="D485" s="43" t="str">
        <f t="shared" si="21"/>
        <v/>
      </c>
      <c r="E485" s="44" t="str">
        <f>IF($C485="","",INDEX(Summary!$J$3:$J$7,MATCH($C485,TaskListLeads,FALSE),1))</f>
        <v/>
      </c>
      <c r="F485" s="50"/>
      <c r="G485" s="45" t="str">
        <f t="shared" si="22"/>
        <v/>
      </c>
      <c r="H485" s="50"/>
      <c r="I485" s="45" t="str">
        <f t="shared" si="23"/>
        <v/>
      </c>
      <c r="J485" s="41"/>
    </row>
    <row r="486" spans="2:10" ht="39.950000000000003" customHeight="1" x14ac:dyDescent="0.25">
      <c r="B486" s="41"/>
      <c r="C486" s="42"/>
      <c r="D486" s="43" t="str">
        <f t="shared" si="21"/>
        <v/>
      </c>
      <c r="E486" s="44" t="str">
        <f>IF($C486="","",INDEX(Summary!$J$3:$J$7,MATCH($C486,TaskListLeads,FALSE),1))</f>
        <v/>
      </c>
      <c r="F486" s="50"/>
      <c r="G486" s="45" t="str">
        <f t="shared" si="22"/>
        <v/>
      </c>
      <c r="H486" s="50"/>
      <c r="I486" s="45" t="str">
        <f t="shared" si="23"/>
        <v/>
      </c>
      <c r="J486" s="41"/>
    </row>
    <row r="487" spans="2:10" ht="39.950000000000003" customHeight="1" x14ac:dyDescent="0.25">
      <c r="B487" s="41"/>
      <c r="C487" s="42"/>
      <c r="D487" s="43" t="str">
        <f t="shared" si="21"/>
        <v/>
      </c>
      <c r="E487" s="44" t="str">
        <f>IF($C487="","",INDEX(Summary!$J$3:$J$7,MATCH($C487,TaskListLeads,FALSE),1))</f>
        <v/>
      </c>
      <c r="F487" s="50"/>
      <c r="G487" s="45" t="str">
        <f t="shared" si="22"/>
        <v/>
      </c>
      <c r="H487" s="50"/>
      <c r="I487" s="45" t="str">
        <f t="shared" si="23"/>
        <v/>
      </c>
      <c r="J487" s="41"/>
    </row>
    <row r="488" spans="2:10" ht="39.950000000000003" customHeight="1" x14ac:dyDescent="0.25">
      <c r="B488" s="41"/>
      <c r="C488" s="42"/>
      <c r="D488" s="43" t="str">
        <f t="shared" si="21"/>
        <v/>
      </c>
      <c r="E488" s="44" t="str">
        <f>IF($C488="","",INDEX(Summary!$J$3:$J$7,MATCH($C488,TaskListLeads,FALSE),1))</f>
        <v/>
      </c>
      <c r="F488" s="50"/>
      <c r="G488" s="45" t="str">
        <f t="shared" si="22"/>
        <v/>
      </c>
      <c r="H488" s="50"/>
      <c r="I488" s="45" t="str">
        <f t="shared" si="23"/>
        <v/>
      </c>
      <c r="J488" s="41"/>
    </row>
    <row r="489" spans="2:10" ht="39.950000000000003" customHeight="1" x14ac:dyDescent="0.25">
      <c r="B489" s="41"/>
      <c r="C489" s="42"/>
      <c r="D489" s="43" t="str">
        <f t="shared" si="21"/>
        <v/>
      </c>
      <c r="E489" s="44" t="str">
        <f>IF($C489="","",INDEX(Summary!$J$3:$J$7,MATCH($C489,TaskListLeads,FALSE),1))</f>
        <v/>
      </c>
      <c r="F489" s="50"/>
      <c r="G489" s="45" t="str">
        <f t="shared" si="22"/>
        <v/>
      </c>
      <c r="H489" s="50"/>
      <c r="I489" s="45" t="str">
        <f t="shared" si="23"/>
        <v/>
      </c>
      <c r="J489" s="41"/>
    </row>
    <row r="490" spans="2:10" ht="39.950000000000003" customHeight="1" x14ac:dyDescent="0.25">
      <c r="B490" s="41"/>
      <c r="C490" s="42"/>
      <c r="D490" s="43" t="str">
        <f t="shared" si="21"/>
        <v/>
      </c>
      <c r="E490" s="44" t="str">
        <f>IF($C490="","",INDEX(Summary!$J$3:$J$7,MATCH($C490,TaskListLeads,FALSE),1))</f>
        <v/>
      </c>
      <c r="F490" s="50"/>
      <c r="G490" s="45" t="str">
        <f t="shared" si="22"/>
        <v/>
      </c>
      <c r="H490" s="50"/>
      <c r="I490" s="45" t="str">
        <f t="shared" si="23"/>
        <v/>
      </c>
      <c r="J490" s="41"/>
    </row>
    <row r="491" spans="2:10" ht="39.950000000000003" customHeight="1" x14ac:dyDescent="0.25">
      <c r="B491" s="41"/>
      <c r="C491" s="42"/>
      <c r="D491" s="43" t="str">
        <f t="shared" si="21"/>
        <v/>
      </c>
      <c r="E491" s="44" t="str">
        <f>IF($C491="","",INDEX(Summary!$J$3:$J$7,MATCH($C491,TaskListLeads,FALSE),1))</f>
        <v/>
      </c>
      <c r="F491" s="50"/>
      <c r="G491" s="45" t="str">
        <f t="shared" si="22"/>
        <v/>
      </c>
      <c r="H491" s="50"/>
      <c r="I491" s="45" t="str">
        <f t="shared" si="23"/>
        <v/>
      </c>
      <c r="J491" s="41"/>
    </row>
    <row r="492" spans="2:10" ht="39.950000000000003" customHeight="1" x14ac:dyDescent="0.25">
      <c r="B492" s="41"/>
      <c r="C492" s="42"/>
      <c r="D492" s="43" t="str">
        <f t="shared" si="21"/>
        <v/>
      </c>
      <c r="E492" s="44" t="str">
        <f>IF($C492="","",INDEX(Summary!$J$3:$J$7,MATCH($C492,TaskListLeads,FALSE),1))</f>
        <v/>
      </c>
      <c r="F492" s="50"/>
      <c r="G492" s="45" t="str">
        <f t="shared" si="22"/>
        <v/>
      </c>
      <c r="H492" s="50"/>
      <c r="I492" s="45" t="str">
        <f t="shared" si="23"/>
        <v/>
      </c>
      <c r="J492" s="41"/>
    </row>
    <row r="493" spans="2:10" ht="39.950000000000003" customHeight="1" x14ac:dyDescent="0.25">
      <c r="B493" s="41"/>
      <c r="C493" s="42"/>
      <c r="D493" s="43" t="str">
        <f t="shared" si="21"/>
        <v/>
      </c>
      <c r="E493" s="44" t="str">
        <f>IF($C493="","",INDEX(Summary!$J$3:$J$7,MATCH($C493,TaskListLeads,FALSE),1))</f>
        <v/>
      </c>
      <c r="F493" s="50"/>
      <c r="G493" s="45" t="str">
        <f t="shared" si="22"/>
        <v/>
      </c>
      <c r="H493" s="50"/>
      <c r="I493" s="45" t="str">
        <f t="shared" si="23"/>
        <v/>
      </c>
      <c r="J493" s="41"/>
    </row>
    <row r="494" spans="2:10" ht="39.950000000000003" customHeight="1" x14ac:dyDescent="0.25">
      <c r="B494" s="41"/>
      <c r="C494" s="42"/>
      <c r="D494" s="43" t="str">
        <f t="shared" si="21"/>
        <v/>
      </c>
      <c r="E494" s="44" t="str">
        <f>IF($C494="","",INDEX(Summary!$J$3:$J$7,MATCH($C494,TaskListLeads,FALSE),1))</f>
        <v/>
      </c>
      <c r="F494" s="50"/>
      <c r="G494" s="45" t="str">
        <f t="shared" si="22"/>
        <v/>
      </c>
      <c r="H494" s="50"/>
      <c r="I494" s="45" t="str">
        <f t="shared" si="23"/>
        <v/>
      </c>
      <c r="J494" s="41"/>
    </row>
    <row r="495" spans="2:10" ht="39.950000000000003" customHeight="1" x14ac:dyDescent="0.25">
      <c r="B495" s="41"/>
      <c r="C495" s="42"/>
      <c r="D495" s="43" t="str">
        <f t="shared" si="21"/>
        <v/>
      </c>
      <c r="E495" s="44" t="str">
        <f>IF($C495="","",INDEX(Summary!$J$3:$J$7,MATCH($C495,TaskListLeads,FALSE),1))</f>
        <v/>
      </c>
      <c r="F495" s="50"/>
      <c r="G495" s="45" t="str">
        <f t="shared" si="22"/>
        <v/>
      </c>
      <c r="H495" s="50"/>
      <c r="I495" s="45" t="str">
        <f t="shared" si="23"/>
        <v/>
      </c>
      <c r="J495" s="41"/>
    </row>
    <row r="496" spans="2:10" ht="39.950000000000003" customHeight="1" x14ac:dyDescent="0.25">
      <c r="B496" s="41"/>
      <c r="C496" s="42"/>
      <c r="D496" s="43" t="str">
        <f t="shared" si="21"/>
        <v/>
      </c>
      <c r="E496" s="44" t="str">
        <f>IF($C496="","",INDEX(Summary!$J$3:$J$7,MATCH($C496,TaskListLeads,FALSE),1))</f>
        <v/>
      </c>
      <c r="F496" s="50"/>
      <c r="G496" s="45" t="str">
        <f t="shared" si="22"/>
        <v/>
      </c>
      <c r="H496" s="50"/>
      <c r="I496" s="45" t="str">
        <f t="shared" si="23"/>
        <v/>
      </c>
      <c r="J496" s="41"/>
    </row>
    <row r="497" spans="2:10" ht="39.950000000000003" customHeight="1" x14ac:dyDescent="0.25">
      <c r="B497" s="41"/>
      <c r="C497" s="42"/>
      <c r="D497" s="43" t="str">
        <f t="shared" si="21"/>
        <v/>
      </c>
      <c r="E497" s="44" t="str">
        <f>IF($C497="","",INDEX(Summary!$J$3:$J$7,MATCH($C497,TaskListLeads,FALSE),1))</f>
        <v/>
      </c>
      <c r="F497" s="50"/>
      <c r="G497" s="45" t="str">
        <f t="shared" si="22"/>
        <v/>
      </c>
      <c r="H497" s="50"/>
      <c r="I497" s="45" t="str">
        <f t="shared" si="23"/>
        <v/>
      </c>
      <c r="J497" s="41"/>
    </row>
    <row r="498" spans="2:10" ht="39.950000000000003" customHeight="1" x14ac:dyDescent="0.25">
      <c r="B498" s="41"/>
      <c r="C498" s="42"/>
      <c r="D498" s="43" t="str">
        <f t="shared" si="21"/>
        <v/>
      </c>
      <c r="E498" s="44" t="str">
        <f>IF($C498="","",INDEX(Summary!$J$3:$J$7,MATCH($C498,TaskListLeads,FALSE),1))</f>
        <v/>
      </c>
      <c r="F498" s="50"/>
      <c r="G498" s="45" t="str">
        <f t="shared" si="22"/>
        <v/>
      </c>
      <c r="H498" s="50"/>
      <c r="I498" s="45" t="str">
        <f t="shared" si="23"/>
        <v/>
      </c>
      <c r="J498" s="41"/>
    </row>
    <row r="499" spans="2:10" ht="39.950000000000003" customHeight="1" x14ac:dyDescent="0.25">
      <c r="B499" s="41"/>
      <c r="C499" s="42"/>
      <c r="D499" s="43" t="str">
        <f t="shared" si="21"/>
        <v/>
      </c>
      <c r="E499" s="44" t="str">
        <f>IF($C499="","",INDEX(Summary!$J$3:$J$7,MATCH($C499,TaskListLeads,FALSE),1))</f>
        <v/>
      </c>
      <c r="F499" s="50"/>
      <c r="G499" s="45" t="str">
        <f t="shared" si="22"/>
        <v/>
      </c>
      <c r="H499" s="50"/>
      <c r="I499" s="45" t="str">
        <f t="shared" si="23"/>
        <v/>
      </c>
      <c r="J499" s="41"/>
    </row>
    <row r="500" spans="2:10" ht="39.950000000000003" customHeight="1" x14ac:dyDescent="0.25">
      <c r="B500" s="41"/>
      <c r="C500" s="42"/>
      <c r="D500" s="43" t="str">
        <f t="shared" si="21"/>
        <v/>
      </c>
      <c r="E500" s="44" t="str">
        <f>IF($C500="","",INDEX(Summary!$J$3:$J$7,MATCH($C500,TaskListLeads,FALSE),1))</f>
        <v/>
      </c>
      <c r="F500" s="50"/>
      <c r="G500" s="45" t="str">
        <f t="shared" si="22"/>
        <v/>
      </c>
      <c r="H500" s="50"/>
      <c r="I500" s="45" t="str">
        <f t="shared" si="23"/>
        <v/>
      </c>
      <c r="J500" s="41"/>
    </row>
    <row r="501" spans="2:10" ht="39.950000000000003" customHeight="1" x14ac:dyDescent="0.25">
      <c r="B501" s="41"/>
      <c r="C501" s="42"/>
      <c r="D501" s="43" t="str">
        <f t="shared" si="21"/>
        <v/>
      </c>
      <c r="E501" s="44" t="str">
        <f>IF($C501="","",INDEX(Summary!$J$3:$J$7,MATCH($C501,TaskListLeads,FALSE),1))</f>
        <v/>
      </c>
      <c r="F501" s="50"/>
      <c r="G501" s="45" t="str">
        <f t="shared" si="22"/>
        <v/>
      </c>
      <c r="H501" s="50"/>
      <c r="I501" s="45" t="str">
        <f t="shared" si="23"/>
        <v/>
      </c>
      <c r="J501" s="41"/>
    </row>
    <row r="502" spans="2:10" ht="39.950000000000003" customHeight="1" x14ac:dyDescent="0.25">
      <c r="B502" s="41"/>
      <c r="C502" s="42"/>
      <c r="D502" s="43" t="str">
        <f t="shared" si="21"/>
        <v/>
      </c>
      <c r="E502" s="44" t="str">
        <f>IF($C502="","",INDEX(Summary!$J$3:$J$7,MATCH($C502,TaskListLeads,FALSE),1))</f>
        <v/>
      </c>
      <c r="F502" s="50"/>
      <c r="G502" s="45" t="str">
        <f t="shared" si="22"/>
        <v/>
      </c>
      <c r="H502" s="50"/>
      <c r="I502" s="45" t="str">
        <f t="shared" si="23"/>
        <v/>
      </c>
      <c r="J502" s="41"/>
    </row>
    <row r="503" spans="2:10" ht="39.950000000000003" customHeight="1" x14ac:dyDescent="0.25">
      <c r="B503" s="41"/>
      <c r="C503" s="42"/>
      <c r="D503" s="43" t="str">
        <f t="shared" si="21"/>
        <v/>
      </c>
      <c r="E503" s="44" t="str">
        <f>IF($C503="","",INDEX(Summary!$J$3:$J$7,MATCH($C503,TaskListLeads,FALSE),1))</f>
        <v/>
      </c>
      <c r="F503" s="50"/>
      <c r="G503" s="45" t="str">
        <f t="shared" si="22"/>
        <v/>
      </c>
      <c r="H503" s="50"/>
      <c r="I503" s="45" t="str">
        <f t="shared" si="23"/>
        <v/>
      </c>
      <c r="J503" s="41"/>
    </row>
    <row r="504" spans="2:10" ht="39.950000000000003" customHeight="1" x14ac:dyDescent="0.25">
      <c r="B504" s="41"/>
      <c r="C504" s="42"/>
      <c r="D504" s="43" t="str">
        <f t="shared" si="21"/>
        <v/>
      </c>
      <c r="E504" s="44" t="str">
        <f>IF($C504="","",INDEX(Summary!$J$3:$J$7,MATCH($C504,TaskListLeads,FALSE),1))</f>
        <v/>
      </c>
      <c r="F504" s="50"/>
      <c r="G504" s="45" t="str">
        <f t="shared" si="22"/>
        <v/>
      </c>
      <c r="H504" s="50"/>
      <c r="I504" s="45" t="str">
        <f t="shared" si="23"/>
        <v/>
      </c>
      <c r="J504" s="41"/>
    </row>
    <row r="505" spans="2:10" ht="39.950000000000003" customHeight="1" x14ac:dyDescent="0.25">
      <c r="B505" s="41"/>
      <c r="C505" s="42"/>
      <c r="D505" s="43" t="str">
        <f t="shared" si="21"/>
        <v/>
      </c>
      <c r="E505" s="44" t="str">
        <f>IF($C505="","",INDEX(Summary!$J$3:$J$7,MATCH($C505,TaskListLeads,FALSE),1))</f>
        <v/>
      </c>
      <c r="F505" s="50"/>
      <c r="G505" s="45" t="str">
        <f t="shared" si="22"/>
        <v/>
      </c>
      <c r="H505" s="50"/>
      <c r="I505" s="45" t="str">
        <f t="shared" si="23"/>
        <v/>
      </c>
      <c r="J505" s="41"/>
    </row>
    <row r="506" spans="2:10" ht="39.950000000000003" customHeight="1" x14ac:dyDescent="0.25">
      <c r="B506" s="41"/>
      <c r="C506" s="42"/>
      <c r="D506" s="43" t="str">
        <f t="shared" si="21"/>
        <v/>
      </c>
      <c r="E506" s="44" t="str">
        <f>IF($C506="","",INDEX(Summary!$J$3:$J$7,MATCH($C506,TaskListLeads,FALSE),1))</f>
        <v/>
      </c>
      <c r="F506" s="50"/>
      <c r="G506" s="45" t="str">
        <f t="shared" si="22"/>
        <v/>
      </c>
      <c r="H506" s="50"/>
      <c r="I506" s="45" t="str">
        <f t="shared" si="23"/>
        <v/>
      </c>
      <c r="J506" s="41"/>
    </row>
    <row r="507" spans="2:10" ht="39.950000000000003" customHeight="1" x14ac:dyDescent="0.25">
      <c r="B507" s="41"/>
      <c r="C507" s="42"/>
      <c r="D507" s="43" t="str">
        <f t="shared" si="21"/>
        <v/>
      </c>
      <c r="E507" s="44" t="str">
        <f>IF($C507="","",INDEX(Summary!$J$3:$J$7,MATCH($C507,TaskListLeads,FALSE),1))</f>
        <v/>
      </c>
      <c r="F507" s="50"/>
      <c r="G507" s="45" t="str">
        <f t="shared" si="22"/>
        <v/>
      </c>
      <c r="H507" s="50"/>
      <c r="I507" s="45" t="str">
        <f t="shared" si="23"/>
        <v/>
      </c>
      <c r="J507" s="41"/>
    </row>
    <row r="508" spans="2:10" ht="39.950000000000003" customHeight="1" x14ac:dyDescent="0.25">
      <c r="B508" s="41"/>
      <c r="C508" s="42"/>
      <c r="D508" s="43" t="str">
        <f t="shared" si="21"/>
        <v/>
      </c>
      <c r="E508" s="44" t="str">
        <f>IF($C508="","",INDEX(Summary!$J$3:$J$7,MATCH($C508,TaskListLeads,FALSE),1))</f>
        <v/>
      </c>
      <c r="F508" s="50"/>
      <c r="G508" s="45" t="str">
        <f t="shared" si="22"/>
        <v/>
      </c>
      <c r="H508" s="50"/>
      <c r="I508" s="45" t="str">
        <f t="shared" si="23"/>
        <v/>
      </c>
      <c r="J508" s="41"/>
    </row>
    <row r="509" spans="2:10" ht="39.950000000000003" customHeight="1" x14ac:dyDescent="0.25">
      <c r="B509" s="41"/>
      <c r="C509" s="42"/>
      <c r="D509" s="43" t="str">
        <f t="shared" si="21"/>
        <v/>
      </c>
      <c r="E509" s="44" t="str">
        <f>IF($C509="","",INDEX(Summary!$J$3:$J$7,MATCH($C509,TaskListLeads,FALSE),1))</f>
        <v/>
      </c>
      <c r="F509" s="50"/>
      <c r="G509" s="45" t="str">
        <f t="shared" si="22"/>
        <v/>
      </c>
      <c r="H509" s="50"/>
      <c r="I509" s="45" t="str">
        <f t="shared" si="23"/>
        <v/>
      </c>
      <c r="J509" s="41"/>
    </row>
    <row r="510" spans="2:10" ht="39.950000000000003" customHeight="1" x14ac:dyDescent="0.25">
      <c r="B510" s="41"/>
      <c r="C510" s="42"/>
      <c r="D510" s="43" t="str">
        <f t="shared" si="21"/>
        <v/>
      </c>
      <c r="E510" s="44" t="str">
        <f>IF($C510="","",INDEX(Summary!$J$3:$J$7,MATCH($C510,TaskListLeads,FALSE),1))</f>
        <v/>
      </c>
      <c r="F510" s="50"/>
      <c r="G510" s="45" t="str">
        <f t="shared" si="22"/>
        <v/>
      </c>
      <c r="H510" s="50"/>
      <c r="I510" s="45" t="str">
        <f t="shared" si="23"/>
        <v/>
      </c>
      <c r="J510" s="41"/>
    </row>
    <row r="511" spans="2:10" ht="39.950000000000003" customHeight="1" x14ac:dyDescent="0.25">
      <c r="B511" s="41"/>
      <c r="C511" s="42"/>
      <c r="D511" s="43" t="str">
        <f t="shared" si="21"/>
        <v/>
      </c>
      <c r="E511" s="44" t="str">
        <f>IF($C511="","",INDEX(Summary!$J$3:$J$7,MATCH($C511,TaskListLeads,FALSE),1))</f>
        <v/>
      </c>
      <c r="F511" s="50"/>
      <c r="G511" s="45" t="str">
        <f t="shared" si="22"/>
        <v/>
      </c>
      <c r="H511" s="50"/>
      <c r="I511" s="45" t="str">
        <f t="shared" si="23"/>
        <v/>
      </c>
      <c r="J511" s="41"/>
    </row>
    <row r="512" spans="2:10" ht="39.950000000000003" customHeight="1" x14ac:dyDescent="0.25">
      <c r="B512" s="41"/>
      <c r="C512" s="42"/>
      <c r="D512" s="43" t="str">
        <f t="shared" si="21"/>
        <v/>
      </c>
      <c r="E512" s="44" t="str">
        <f>IF($C512="","",INDEX(Summary!$J$3:$J$7,MATCH($C512,TaskListLeads,FALSE),1))</f>
        <v/>
      </c>
      <c r="F512" s="50"/>
      <c r="G512" s="45" t="str">
        <f t="shared" si="22"/>
        <v/>
      </c>
      <c r="H512" s="50"/>
      <c r="I512" s="45" t="str">
        <f t="shared" si="23"/>
        <v/>
      </c>
      <c r="J512" s="41"/>
    </row>
    <row r="513" spans="2:10" ht="39.950000000000003" customHeight="1" x14ac:dyDescent="0.25">
      <c r="B513" s="41"/>
      <c r="C513" s="42"/>
      <c r="D513" s="43" t="str">
        <f t="shared" si="21"/>
        <v/>
      </c>
      <c r="E513" s="44" t="str">
        <f>IF($C513="","",INDEX(Summary!$J$3:$J$7,MATCH($C513,TaskListLeads,FALSE),1))</f>
        <v/>
      </c>
      <c r="F513" s="50"/>
      <c r="G513" s="45" t="str">
        <f t="shared" si="22"/>
        <v/>
      </c>
      <c r="H513" s="50"/>
      <c r="I513" s="45" t="str">
        <f t="shared" si="23"/>
        <v/>
      </c>
      <c r="J513" s="41"/>
    </row>
    <row r="514" spans="2:10" ht="39.950000000000003" customHeight="1" x14ac:dyDescent="0.25">
      <c r="B514" s="41"/>
      <c r="C514" s="42"/>
      <c r="D514" s="43" t="str">
        <f t="shared" si="21"/>
        <v/>
      </c>
      <c r="E514" s="44" t="str">
        <f>IF($C514="","",INDEX(Summary!$J$3:$J$7,MATCH($C514,TaskListLeads,FALSE),1))</f>
        <v/>
      </c>
      <c r="F514" s="50"/>
      <c r="G514" s="45" t="str">
        <f t="shared" si="22"/>
        <v/>
      </c>
      <c r="H514" s="50"/>
      <c r="I514" s="45" t="str">
        <f t="shared" si="23"/>
        <v/>
      </c>
      <c r="J514" s="41"/>
    </row>
    <row r="515" spans="2:10" ht="39.950000000000003" customHeight="1" x14ac:dyDescent="0.25">
      <c r="B515" s="41"/>
      <c r="C515" s="42"/>
      <c r="D515" s="43" t="str">
        <f t="shared" si="21"/>
        <v/>
      </c>
      <c r="E515" s="44" t="str">
        <f>IF($C515="","",INDEX(Summary!$J$3:$J$7,MATCH($C515,TaskListLeads,FALSE),1))</f>
        <v/>
      </c>
      <c r="F515" s="50"/>
      <c r="G515" s="45" t="str">
        <f t="shared" si="22"/>
        <v/>
      </c>
      <c r="H515" s="50"/>
      <c r="I515" s="45" t="str">
        <f t="shared" si="23"/>
        <v/>
      </c>
      <c r="J515" s="41"/>
    </row>
    <row r="516" spans="2:10" ht="39.950000000000003" customHeight="1" x14ac:dyDescent="0.25">
      <c r="B516" s="41"/>
      <c r="C516" s="42"/>
      <c r="D516" s="43" t="str">
        <f t="shared" si="21"/>
        <v/>
      </c>
      <c r="E516" s="44" t="str">
        <f>IF($C516="","",INDEX(Summary!$J$3:$J$7,MATCH($C516,TaskListLeads,FALSE),1))</f>
        <v/>
      </c>
      <c r="F516" s="50"/>
      <c r="G516" s="45" t="str">
        <f t="shared" si="22"/>
        <v/>
      </c>
      <c r="H516" s="50"/>
      <c r="I516" s="45" t="str">
        <f t="shared" si="23"/>
        <v/>
      </c>
      <c r="J516" s="41"/>
    </row>
    <row r="517" spans="2:10" ht="39.950000000000003" customHeight="1" x14ac:dyDescent="0.25">
      <c r="B517" s="41"/>
      <c r="C517" s="42"/>
      <c r="D517" s="43" t="str">
        <f t="shared" si="21"/>
        <v/>
      </c>
      <c r="E517" s="44" t="str">
        <f>IF($C517="","",INDEX(Summary!$J$3:$J$7,MATCH($C517,TaskListLeads,FALSE),1))</f>
        <v/>
      </c>
      <c r="F517" s="50"/>
      <c r="G517" s="45" t="str">
        <f t="shared" si="22"/>
        <v/>
      </c>
      <c r="H517" s="50"/>
      <c r="I517" s="45" t="str">
        <f t="shared" si="23"/>
        <v/>
      </c>
      <c r="J517" s="41"/>
    </row>
    <row r="518" spans="2:10" ht="39.950000000000003" customHeight="1" x14ac:dyDescent="0.25">
      <c r="B518" s="41"/>
      <c r="C518" s="42"/>
      <c r="D518" s="43" t="str">
        <f t="shared" si="21"/>
        <v/>
      </c>
      <c r="E518" s="44" t="str">
        <f>IF($C518="","",INDEX(Summary!$J$3:$J$7,MATCH($C518,TaskListLeads,FALSE),1))</f>
        <v/>
      </c>
      <c r="F518" s="50"/>
      <c r="G518" s="45" t="str">
        <f t="shared" si="22"/>
        <v/>
      </c>
      <c r="H518" s="50"/>
      <c r="I518" s="45" t="str">
        <f t="shared" si="23"/>
        <v/>
      </c>
      <c r="J518" s="41"/>
    </row>
    <row r="519" spans="2:10" ht="39.950000000000003" customHeight="1" x14ac:dyDescent="0.25">
      <c r="B519" s="41"/>
      <c r="C519" s="42"/>
      <c r="D519" s="43" t="str">
        <f t="shared" si="21"/>
        <v/>
      </c>
      <c r="E519" s="44" t="str">
        <f>IF($C519="","",INDEX(Summary!$J$3:$J$7,MATCH($C519,TaskListLeads,FALSE),1))</f>
        <v/>
      </c>
      <c r="F519" s="50"/>
      <c r="G519" s="45" t="str">
        <f t="shared" si="22"/>
        <v/>
      </c>
      <c r="H519" s="50"/>
      <c r="I519" s="45" t="str">
        <f t="shared" si="23"/>
        <v/>
      </c>
      <c r="J519" s="41"/>
    </row>
    <row r="520" spans="2:10" ht="39.950000000000003" customHeight="1" x14ac:dyDescent="0.25">
      <c r="B520" s="41"/>
      <c r="C520" s="42"/>
      <c r="D520" s="43" t="str">
        <f t="shared" si="21"/>
        <v/>
      </c>
      <c r="E520" s="44" t="str">
        <f>IF($C520="","",INDEX(Summary!$J$3:$J$7,MATCH($C520,TaskListLeads,FALSE),1))</f>
        <v/>
      </c>
      <c r="F520" s="50"/>
      <c r="G520" s="45" t="str">
        <f t="shared" si="22"/>
        <v/>
      </c>
      <c r="H520" s="50"/>
      <c r="I520" s="45" t="str">
        <f t="shared" si="23"/>
        <v/>
      </c>
      <c r="J520" s="41"/>
    </row>
    <row r="521" spans="2:10" ht="39.950000000000003" customHeight="1" x14ac:dyDescent="0.25">
      <c r="B521" s="41"/>
      <c r="C521" s="42"/>
      <c r="D521" s="43" t="str">
        <f t="shared" si="21"/>
        <v/>
      </c>
      <c r="E521" s="44" t="str">
        <f>IF($C521="","",INDEX(Summary!$J$3:$J$7,MATCH($C521,TaskListLeads,FALSE),1))</f>
        <v/>
      </c>
      <c r="F521" s="50"/>
      <c r="G521" s="45" t="str">
        <f t="shared" si="22"/>
        <v/>
      </c>
      <c r="H521" s="50"/>
      <c r="I521" s="45" t="str">
        <f t="shared" si="23"/>
        <v/>
      </c>
      <c r="J521" s="41"/>
    </row>
    <row r="522" spans="2:10" ht="39.950000000000003" customHeight="1" x14ac:dyDescent="0.25">
      <c r="B522" s="41"/>
      <c r="C522" s="42"/>
      <c r="D522" s="43" t="str">
        <f t="shared" si="21"/>
        <v/>
      </c>
      <c r="E522" s="44" t="str">
        <f>IF($C522="","",INDEX(Summary!$J$3:$J$7,MATCH($C522,TaskListLeads,FALSE),1))</f>
        <v/>
      </c>
      <c r="F522" s="50"/>
      <c r="G522" s="45" t="str">
        <f t="shared" si="22"/>
        <v/>
      </c>
      <c r="H522" s="50"/>
      <c r="I522" s="45" t="str">
        <f t="shared" si="23"/>
        <v/>
      </c>
      <c r="J522" s="41"/>
    </row>
    <row r="523" spans="2:10" ht="39.950000000000003" customHeight="1" x14ac:dyDescent="0.25">
      <c r="B523" s="41"/>
      <c r="C523" s="42"/>
      <c r="D523" s="43" t="str">
        <f t="shared" ref="D523:D586" si="24">IF($C523="","",INDEX(TaskListCostCentres,MATCH($C523,TaskListLeads,FALSE),1))</f>
        <v/>
      </c>
      <c r="E523" s="44" t="str">
        <f>IF($C523="","",INDEX(Summary!$J$3:$J$7,MATCH($C523,TaskListLeads,FALSE),1))</f>
        <v/>
      </c>
      <c r="F523" s="50"/>
      <c r="G523" s="45" t="str">
        <f t="shared" ref="G523:G586" si="25">IF($F523="","",INDEX(ControlWeeksOf,MATCH($F523,ControlWeeksOf,TRUE),1))</f>
        <v/>
      </c>
      <c r="H523" s="50"/>
      <c r="I523" s="45" t="str">
        <f t="shared" ref="I523:I586" si="26">IF($H523="","",INDEX(ControlWeeksOf,MATCH($H523,ControlWeeksOf,TRUE),1))</f>
        <v/>
      </c>
      <c r="J523" s="41"/>
    </row>
    <row r="524" spans="2:10" ht="39.950000000000003" customHeight="1" x14ac:dyDescent="0.25">
      <c r="B524" s="41"/>
      <c r="C524" s="42"/>
      <c r="D524" s="43" t="str">
        <f t="shared" si="24"/>
        <v/>
      </c>
      <c r="E524" s="44" t="str">
        <f>IF($C524="","",INDEX(Summary!$J$3:$J$7,MATCH($C524,TaskListLeads,FALSE),1))</f>
        <v/>
      </c>
      <c r="F524" s="50"/>
      <c r="G524" s="45" t="str">
        <f t="shared" si="25"/>
        <v/>
      </c>
      <c r="H524" s="50"/>
      <c r="I524" s="45" t="str">
        <f t="shared" si="26"/>
        <v/>
      </c>
      <c r="J524" s="41"/>
    </row>
    <row r="525" spans="2:10" ht="39.950000000000003" customHeight="1" x14ac:dyDescent="0.25">
      <c r="B525" s="41"/>
      <c r="C525" s="42"/>
      <c r="D525" s="43" t="str">
        <f t="shared" si="24"/>
        <v/>
      </c>
      <c r="E525" s="44" t="str">
        <f>IF($C525="","",INDEX(Summary!$J$3:$J$7,MATCH($C525,TaskListLeads,FALSE),1))</f>
        <v/>
      </c>
      <c r="F525" s="50"/>
      <c r="G525" s="45" t="str">
        <f t="shared" si="25"/>
        <v/>
      </c>
      <c r="H525" s="50"/>
      <c r="I525" s="45" t="str">
        <f t="shared" si="26"/>
        <v/>
      </c>
      <c r="J525" s="41"/>
    </row>
    <row r="526" spans="2:10" ht="39.950000000000003" customHeight="1" x14ac:dyDescent="0.25">
      <c r="B526" s="41"/>
      <c r="C526" s="42"/>
      <c r="D526" s="43" t="str">
        <f t="shared" si="24"/>
        <v/>
      </c>
      <c r="E526" s="44" t="str">
        <f>IF($C526="","",INDEX(Summary!$J$3:$J$7,MATCH($C526,TaskListLeads,FALSE),1))</f>
        <v/>
      </c>
      <c r="F526" s="50"/>
      <c r="G526" s="45" t="str">
        <f t="shared" si="25"/>
        <v/>
      </c>
      <c r="H526" s="50"/>
      <c r="I526" s="45" t="str">
        <f t="shared" si="26"/>
        <v/>
      </c>
      <c r="J526" s="41"/>
    </row>
    <row r="527" spans="2:10" ht="39.950000000000003" customHeight="1" x14ac:dyDescent="0.25">
      <c r="B527" s="41"/>
      <c r="C527" s="42"/>
      <c r="D527" s="43" t="str">
        <f t="shared" si="24"/>
        <v/>
      </c>
      <c r="E527" s="44" t="str">
        <f>IF($C527="","",INDEX(Summary!$J$3:$J$7,MATCH($C527,TaskListLeads,FALSE),1))</f>
        <v/>
      </c>
      <c r="F527" s="50"/>
      <c r="G527" s="45" t="str">
        <f t="shared" si="25"/>
        <v/>
      </c>
      <c r="H527" s="50"/>
      <c r="I527" s="45" t="str">
        <f t="shared" si="26"/>
        <v/>
      </c>
      <c r="J527" s="41"/>
    </row>
    <row r="528" spans="2:10" ht="39.950000000000003" customHeight="1" x14ac:dyDescent="0.25">
      <c r="B528" s="41"/>
      <c r="C528" s="42"/>
      <c r="D528" s="43" t="str">
        <f t="shared" si="24"/>
        <v/>
      </c>
      <c r="E528" s="44" t="str">
        <f>IF($C528="","",INDEX(Summary!$J$3:$J$7,MATCH($C528,TaskListLeads,FALSE),1))</f>
        <v/>
      </c>
      <c r="F528" s="50"/>
      <c r="G528" s="45" t="str">
        <f t="shared" si="25"/>
        <v/>
      </c>
      <c r="H528" s="50"/>
      <c r="I528" s="45" t="str">
        <f t="shared" si="26"/>
        <v/>
      </c>
      <c r="J528" s="41"/>
    </row>
    <row r="529" spans="2:10" ht="39.950000000000003" customHeight="1" x14ac:dyDescent="0.25">
      <c r="B529" s="41"/>
      <c r="C529" s="42"/>
      <c r="D529" s="43" t="str">
        <f t="shared" si="24"/>
        <v/>
      </c>
      <c r="E529" s="44" t="str">
        <f>IF($C529="","",INDEX(Summary!$J$3:$J$7,MATCH($C529,TaskListLeads,FALSE),1))</f>
        <v/>
      </c>
      <c r="F529" s="50"/>
      <c r="G529" s="45" t="str">
        <f t="shared" si="25"/>
        <v/>
      </c>
      <c r="H529" s="50"/>
      <c r="I529" s="45" t="str">
        <f t="shared" si="26"/>
        <v/>
      </c>
      <c r="J529" s="41"/>
    </row>
    <row r="530" spans="2:10" ht="39.950000000000003" customHeight="1" x14ac:dyDescent="0.25">
      <c r="B530" s="41"/>
      <c r="C530" s="42"/>
      <c r="D530" s="43" t="str">
        <f t="shared" si="24"/>
        <v/>
      </c>
      <c r="E530" s="44" t="str">
        <f>IF($C530="","",INDEX(Summary!$J$3:$J$7,MATCH($C530,TaskListLeads,FALSE),1))</f>
        <v/>
      </c>
      <c r="F530" s="50"/>
      <c r="G530" s="45" t="str">
        <f t="shared" si="25"/>
        <v/>
      </c>
      <c r="H530" s="50"/>
      <c r="I530" s="45" t="str">
        <f t="shared" si="26"/>
        <v/>
      </c>
      <c r="J530" s="41"/>
    </row>
    <row r="531" spans="2:10" ht="39.950000000000003" customHeight="1" x14ac:dyDescent="0.25">
      <c r="B531" s="41"/>
      <c r="C531" s="42"/>
      <c r="D531" s="43" t="str">
        <f t="shared" si="24"/>
        <v/>
      </c>
      <c r="E531" s="44" t="str">
        <f>IF($C531="","",INDEX(Summary!$J$3:$J$7,MATCH($C531,TaskListLeads,FALSE),1))</f>
        <v/>
      </c>
      <c r="F531" s="50"/>
      <c r="G531" s="45" t="str">
        <f t="shared" si="25"/>
        <v/>
      </c>
      <c r="H531" s="50"/>
      <c r="I531" s="45" t="str">
        <f t="shared" si="26"/>
        <v/>
      </c>
      <c r="J531" s="41"/>
    </row>
    <row r="532" spans="2:10" ht="39.950000000000003" customHeight="1" x14ac:dyDescent="0.25">
      <c r="B532" s="41"/>
      <c r="C532" s="42"/>
      <c r="D532" s="43" t="str">
        <f t="shared" si="24"/>
        <v/>
      </c>
      <c r="E532" s="44" t="str">
        <f>IF($C532="","",INDEX(Summary!$J$3:$J$7,MATCH($C532,TaskListLeads,FALSE),1))</f>
        <v/>
      </c>
      <c r="F532" s="50"/>
      <c r="G532" s="45" t="str">
        <f t="shared" si="25"/>
        <v/>
      </c>
      <c r="H532" s="50"/>
      <c r="I532" s="45" t="str">
        <f t="shared" si="26"/>
        <v/>
      </c>
      <c r="J532" s="41"/>
    </row>
    <row r="533" spans="2:10" ht="39.950000000000003" customHeight="1" x14ac:dyDescent="0.25">
      <c r="B533" s="41"/>
      <c r="C533" s="42"/>
      <c r="D533" s="43" t="str">
        <f t="shared" si="24"/>
        <v/>
      </c>
      <c r="E533" s="44" t="str">
        <f>IF($C533="","",INDEX(Summary!$J$3:$J$7,MATCH($C533,TaskListLeads,FALSE),1))</f>
        <v/>
      </c>
      <c r="F533" s="50"/>
      <c r="G533" s="45" t="str">
        <f t="shared" si="25"/>
        <v/>
      </c>
      <c r="H533" s="50"/>
      <c r="I533" s="45" t="str">
        <f t="shared" si="26"/>
        <v/>
      </c>
      <c r="J533" s="41"/>
    </row>
    <row r="534" spans="2:10" ht="39.950000000000003" customHeight="1" x14ac:dyDescent="0.25">
      <c r="B534" s="41"/>
      <c r="C534" s="42"/>
      <c r="D534" s="43" t="str">
        <f t="shared" si="24"/>
        <v/>
      </c>
      <c r="E534" s="44" t="str">
        <f>IF($C534="","",INDEX(Summary!$J$3:$J$7,MATCH($C534,TaskListLeads,FALSE),1))</f>
        <v/>
      </c>
      <c r="F534" s="50"/>
      <c r="G534" s="45" t="str">
        <f t="shared" si="25"/>
        <v/>
      </c>
      <c r="H534" s="50"/>
      <c r="I534" s="45" t="str">
        <f t="shared" si="26"/>
        <v/>
      </c>
      <c r="J534" s="41"/>
    </row>
    <row r="535" spans="2:10" ht="39.950000000000003" customHeight="1" x14ac:dyDescent="0.25">
      <c r="B535" s="41"/>
      <c r="C535" s="42"/>
      <c r="D535" s="43" t="str">
        <f t="shared" si="24"/>
        <v/>
      </c>
      <c r="E535" s="44" t="str">
        <f>IF($C535="","",INDEX(Summary!$J$3:$J$7,MATCH($C535,TaskListLeads,FALSE),1))</f>
        <v/>
      </c>
      <c r="F535" s="50"/>
      <c r="G535" s="45" t="str">
        <f t="shared" si="25"/>
        <v/>
      </c>
      <c r="H535" s="50"/>
      <c r="I535" s="45" t="str">
        <f t="shared" si="26"/>
        <v/>
      </c>
      <c r="J535" s="41"/>
    </row>
    <row r="536" spans="2:10" ht="39.950000000000003" customHeight="1" x14ac:dyDescent="0.25">
      <c r="B536" s="41"/>
      <c r="C536" s="42"/>
      <c r="D536" s="43" t="str">
        <f t="shared" si="24"/>
        <v/>
      </c>
      <c r="E536" s="44" t="str">
        <f>IF($C536="","",INDEX(Summary!$J$3:$J$7,MATCH($C536,TaskListLeads,FALSE),1))</f>
        <v/>
      </c>
      <c r="F536" s="50"/>
      <c r="G536" s="45" t="str">
        <f t="shared" si="25"/>
        <v/>
      </c>
      <c r="H536" s="50"/>
      <c r="I536" s="45" t="str">
        <f t="shared" si="26"/>
        <v/>
      </c>
      <c r="J536" s="41"/>
    </row>
    <row r="537" spans="2:10" ht="39.950000000000003" customHeight="1" x14ac:dyDescent="0.25">
      <c r="B537" s="41"/>
      <c r="C537" s="42"/>
      <c r="D537" s="43" t="str">
        <f t="shared" si="24"/>
        <v/>
      </c>
      <c r="E537" s="44" t="str">
        <f>IF($C537="","",INDEX(Summary!$J$3:$J$7,MATCH($C537,TaskListLeads,FALSE),1))</f>
        <v/>
      </c>
      <c r="F537" s="50"/>
      <c r="G537" s="45" t="str">
        <f t="shared" si="25"/>
        <v/>
      </c>
      <c r="H537" s="50"/>
      <c r="I537" s="45" t="str">
        <f t="shared" si="26"/>
        <v/>
      </c>
      <c r="J537" s="41"/>
    </row>
    <row r="538" spans="2:10" ht="39.950000000000003" customHeight="1" x14ac:dyDescent="0.25">
      <c r="B538" s="41"/>
      <c r="C538" s="42"/>
      <c r="D538" s="43" t="str">
        <f t="shared" si="24"/>
        <v/>
      </c>
      <c r="E538" s="44" t="str">
        <f>IF($C538="","",INDEX(Summary!$J$3:$J$7,MATCH($C538,TaskListLeads,FALSE),1))</f>
        <v/>
      </c>
      <c r="F538" s="50"/>
      <c r="G538" s="45" t="str">
        <f t="shared" si="25"/>
        <v/>
      </c>
      <c r="H538" s="50"/>
      <c r="I538" s="45" t="str">
        <f t="shared" si="26"/>
        <v/>
      </c>
      <c r="J538" s="41"/>
    </row>
    <row r="539" spans="2:10" ht="39.950000000000003" customHeight="1" x14ac:dyDescent="0.25">
      <c r="B539" s="41"/>
      <c r="C539" s="42"/>
      <c r="D539" s="43" t="str">
        <f t="shared" si="24"/>
        <v/>
      </c>
      <c r="E539" s="44" t="str">
        <f>IF($C539="","",INDEX(Summary!$J$3:$J$7,MATCH($C539,TaskListLeads,FALSE),1))</f>
        <v/>
      </c>
      <c r="F539" s="50"/>
      <c r="G539" s="45" t="str">
        <f t="shared" si="25"/>
        <v/>
      </c>
      <c r="H539" s="50"/>
      <c r="I539" s="45" t="str">
        <f t="shared" si="26"/>
        <v/>
      </c>
      <c r="J539" s="41"/>
    </row>
    <row r="540" spans="2:10" ht="39.950000000000003" customHeight="1" x14ac:dyDescent="0.25">
      <c r="B540" s="41"/>
      <c r="C540" s="42"/>
      <c r="D540" s="43" t="str">
        <f t="shared" si="24"/>
        <v/>
      </c>
      <c r="E540" s="44" t="str">
        <f>IF($C540="","",INDEX(Summary!$J$3:$J$7,MATCH($C540,TaskListLeads,FALSE),1))</f>
        <v/>
      </c>
      <c r="F540" s="50"/>
      <c r="G540" s="45" t="str">
        <f t="shared" si="25"/>
        <v/>
      </c>
      <c r="H540" s="50"/>
      <c r="I540" s="45" t="str">
        <f t="shared" si="26"/>
        <v/>
      </c>
      <c r="J540" s="41"/>
    </row>
    <row r="541" spans="2:10" ht="39.950000000000003" customHeight="1" x14ac:dyDescent="0.25">
      <c r="B541" s="41"/>
      <c r="C541" s="42"/>
      <c r="D541" s="43" t="str">
        <f t="shared" si="24"/>
        <v/>
      </c>
      <c r="E541" s="44" t="str">
        <f>IF($C541="","",INDEX(Summary!$J$3:$J$7,MATCH($C541,TaskListLeads,FALSE),1))</f>
        <v/>
      </c>
      <c r="F541" s="50"/>
      <c r="G541" s="45" t="str">
        <f t="shared" si="25"/>
        <v/>
      </c>
      <c r="H541" s="50"/>
      <c r="I541" s="45" t="str">
        <f t="shared" si="26"/>
        <v/>
      </c>
      <c r="J541" s="41"/>
    </row>
    <row r="542" spans="2:10" ht="39.950000000000003" customHeight="1" x14ac:dyDescent="0.25">
      <c r="B542" s="41"/>
      <c r="C542" s="42"/>
      <c r="D542" s="43" t="str">
        <f t="shared" si="24"/>
        <v/>
      </c>
      <c r="E542" s="44" t="str">
        <f>IF($C542="","",INDEX(Summary!$J$3:$J$7,MATCH($C542,TaskListLeads,FALSE),1))</f>
        <v/>
      </c>
      <c r="F542" s="50"/>
      <c r="G542" s="45" t="str">
        <f t="shared" si="25"/>
        <v/>
      </c>
      <c r="H542" s="50"/>
      <c r="I542" s="45" t="str">
        <f t="shared" si="26"/>
        <v/>
      </c>
      <c r="J542" s="41"/>
    </row>
    <row r="543" spans="2:10" ht="39.950000000000003" customHeight="1" x14ac:dyDescent="0.25">
      <c r="B543" s="41"/>
      <c r="C543" s="42"/>
      <c r="D543" s="43" t="str">
        <f t="shared" si="24"/>
        <v/>
      </c>
      <c r="E543" s="44" t="str">
        <f>IF($C543="","",INDEX(Summary!$J$3:$J$7,MATCH($C543,TaskListLeads,FALSE),1))</f>
        <v/>
      </c>
      <c r="F543" s="50"/>
      <c r="G543" s="45" t="str">
        <f t="shared" si="25"/>
        <v/>
      </c>
      <c r="H543" s="50"/>
      <c r="I543" s="45" t="str">
        <f t="shared" si="26"/>
        <v/>
      </c>
      <c r="J543" s="41"/>
    </row>
    <row r="544" spans="2:10" ht="39.950000000000003" customHeight="1" x14ac:dyDescent="0.25">
      <c r="B544" s="41"/>
      <c r="C544" s="42"/>
      <c r="D544" s="43" t="str">
        <f t="shared" si="24"/>
        <v/>
      </c>
      <c r="E544" s="44" t="str">
        <f>IF($C544="","",INDEX(Summary!$J$3:$J$7,MATCH($C544,TaskListLeads,FALSE),1))</f>
        <v/>
      </c>
      <c r="F544" s="50"/>
      <c r="G544" s="45" t="str">
        <f t="shared" si="25"/>
        <v/>
      </c>
      <c r="H544" s="50"/>
      <c r="I544" s="45" t="str">
        <f t="shared" si="26"/>
        <v/>
      </c>
      <c r="J544" s="41"/>
    </row>
    <row r="545" spans="2:10" ht="39.950000000000003" customHeight="1" x14ac:dyDescent="0.25">
      <c r="B545" s="41"/>
      <c r="C545" s="42"/>
      <c r="D545" s="43" t="str">
        <f t="shared" si="24"/>
        <v/>
      </c>
      <c r="E545" s="44" t="str">
        <f>IF($C545="","",INDEX(Summary!$J$3:$J$7,MATCH($C545,TaskListLeads,FALSE),1))</f>
        <v/>
      </c>
      <c r="F545" s="50"/>
      <c r="G545" s="45" t="str">
        <f t="shared" si="25"/>
        <v/>
      </c>
      <c r="H545" s="50"/>
      <c r="I545" s="45" t="str">
        <f t="shared" si="26"/>
        <v/>
      </c>
      <c r="J545" s="41"/>
    </row>
    <row r="546" spans="2:10" ht="39.950000000000003" customHeight="1" x14ac:dyDescent="0.25">
      <c r="B546" s="41"/>
      <c r="C546" s="42"/>
      <c r="D546" s="43" t="str">
        <f t="shared" si="24"/>
        <v/>
      </c>
      <c r="E546" s="44" t="str">
        <f>IF($C546="","",INDEX(Summary!$J$3:$J$7,MATCH($C546,TaskListLeads,FALSE),1))</f>
        <v/>
      </c>
      <c r="F546" s="50"/>
      <c r="G546" s="45" t="str">
        <f t="shared" si="25"/>
        <v/>
      </c>
      <c r="H546" s="50"/>
      <c r="I546" s="45" t="str">
        <f t="shared" si="26"/>
        <v/>
      </c>
      <c r="J546" s="41"/>
    </row>
    <row r="547" spans="2:10" ht="39.950000000000003" customHeight="1" x14ac:dyDescent="0.25">
      <c r="B547" s="41"/>
      <c r="C547" s="42"/>
      <c r="D547" s="43" t="str">
        <f t="shared" si="24"/>
        <v/>
      </c>
      <c r="E547" s="44" t="str">
        <f>IF($C547="","",INDEX(Summary!$J$3:$J$7,MATCH($C547,TaskListLeads,FALSE),1))</f>
        <v/>
      </c>
      <c r="F547" s="50"/>
      <c r="G547" s="45" t="str">
        <f t="shared" si="25"/>
        <v/>
      </c>
      <c r="H547" s="50"/>
      <c r="I547" s="45" t="str">
        <f t="shared" si="26"/>
        <v/>
      </c>
      <c r="J547" s="41"/>
    </row>
    <row r="548" spans="2:10" ht="39.950000000000003" customHeight="1" x14ac:dyDescent="0.25">
      <c r="B548" s="41"/>
      <c r="C548" s="42"/>
      <c r="D548" s="43" t="str">
        <f t="shared" si="24"/>
        <v/>
      </c>
      <c r="E548" s="44" t="str">
        <f>IF($C548="","",INDEX(Summary!$J$3:$J$7,MATCH($C548,TaskListLeads,FALSE),1))</f>
        <v/>
      </c>
      <c r="F548" s="50"/>
      <c r="G548" s="45" t="str">
        <f t="shared" si="25"/>
        <v/>
      </c>
      <c r="H548" s="50"/>
      <c r="I548" s="45" t="str">
        <f t="shared" si="26"/>
        <v/>
      </c>
      <c r="J548" s="41"/>
    </row>
    <row r="549" spans="2:10" ht="39.950000000000003" customHeight="1" x14ac:dyDescent="0.25">
      <c r="B549" s="41"/>
      <c r="C549" s="42"/>
      <c r="D549" s="43" t="str">
        <f t="shared" si="24"/>
        <v/>
      </c>
      <c r="E549" s="44" t="str">
        <f>IF($C549="","",INDEX(Summary!$J$3:$J$7,MATCH($C549,TaskListLeads,FALSE),1))</f>
        <v/>
      </c>
      <c r="F549" s="50"/>
      <c r="G549" s="45" t="str">
        <f t="shared" si="25"/>
        <v/>
      </c>
      <c r="H549" s="50"/>
      <c r="I549" s="45" t="str">
        <f t="shared" si="26"/>
        <v/>
      </c>
      <c r="J549" s="41"/>
    </row>
    <row r="550" spans="2:10" ht="39.950000000000003" customHeight="1" x14ac:dyDescent="0.25">
      <c r="B550" s="41"/>
      <c r="C550" s="42"/>
      <c r="D550" s="43" t="str">
        <f t="shared" si="24"/>
        <v/>
      </c>
      <c r="E550" s="44" t="str">
        <f>IF($C550="","",INDEX(Summary!$J$3:$J$7,MATCH($C550,TaskListLeads,FALSE),1))</f>
        <v/>
      </c>
      <c r="F550" s="50"/>
      <c r="G550" s="45" t="str">
        <f t="shared" si="25"/>
        <v/>
      </c>
      <c r="H550" s="50"/>
      <c r="I550" s="45" t="str">
        <f t="shared" si="26"/>
        <v/>
      </c>
      <c r="J550" s="41"/>
    </row>
    <row r="551" spans="2:10" ht="39.950000000000003" customHeight="1" x14ac:dyDescent="0.25">
      <c r="B551" s="41"/>
      <c r="C551" s="42"/>
      <c r="D551" s="43" t="str">
        <f t="shared" si="24"/>
        <v/>
      </c>
      <c r="E551" s="44" t="str">
        <f>IF($C551="","",INDEX(Summary!$J$3:$J$7,MATCH($C551,TaskListLeads,FALSE),1))</f>
        <v/>
      </c>
      <c r="F551" s="50"/>
      <c r="G551" s="45" t="str">
        <f t="shared" si="25"/>
        <v/>
      </c>
      <c r="H551" s="50"/>
      <c r="I551" s="45" t="str">
        <f t="shared" si="26"/>
        <v/>
      </c>
      <c r="J551" s="41"/>
    </row>
    <row r="552" spans="2:10" ht="39.950000000000003" customHeight="1" x14ac:dyDescent="0.25">
      <c r="B552" s="41"/>
      <c r="C552" s="42"/>
      <c r="D552" s="43" t="str">
        <f t="shared" si="24"/>
        <v/>
      </c>
      <c r="E552" s="44" t="str">
        <f>IF($C552="","",INDEX(Summary!$J$3:$J$7,MATCH($C552,TaskListLeads,FALSE),1))</f>
        <v/>
      </c>
      <c r="F552" s="50"/>
      <c r="G552" s="45" t="str">
        <f t="shared" si="25"/>
        <v/>
      </c>
      <c r="H552" s="50"/>
      <c r="I552" s="45" t="str">
        <f t="shared" si="26"/>
        <v/>
      </c>
      <c r="J552" s="41"/>
    </row>
    <row r="553" spans="2:10" ht="39.950000000000003" customHeight="1" x14ac:dyDescent="0.25">
      <c r="B553" s="41"/>
      <c r="C553" s="42"/>
      <c r="D553" s="43" t="str">
        <f t="shared" si="24"/>
        <v/>
      </c>
      <c r="E553" s="44" t="str">
        <f>IF($C553="","",INDEX(Summary!$J$3:$J$7,MATCH($C553,TaskListLeads,FALSE),1))</f>
        <v/>
      </c>
      <c r="F553" s="50"/>
      <c r="G553" s="45" t="str">
        <f t="shared" si="25"/>
        <v/>
      </c>
      <c r="H553" s="50"/>
      <c r="I553" s="45" t="str">
        <f t="shared" si="26"/>
        <v/>
      </c>
      <c r="J553" s="41"/>
    </row>
    <row r="554" spans="2:10" ht="39.950000000000003" customHeight="1" x14ac:dyDescent="0.25">
      <c r="B554" s="41"/>
      <c r="C554" s="42"/>
      <c r="D554" s="43" t="str">
        <f t="shared" si="24"/>
        <v/>
      </c>
      <c r="E554" s="44" t="str">
        <f>IF($C554="","",INDEX(Summary!$J$3:$J$7,MATCH($C554,TaskListLeads,FALSE),1))</f>
        <v/>
      </c>
      <c r="F554" s="50"/>
      <c r="G554" s="45" t="str">
        <f t="shared" si="25"/>
        <v/>
      </c>
      <c r="H554" s="50"/>
      <c r="I554" s="45" t="str">
        <f t="shared" si="26"/>
        <v/>
      </c>
      <c r="J554" s="41"/>
    </row>
    <row r="555" spans="2:10" ht="39.950000000000003" customHeight="1" x14ac:dyDescent="0.25">
      <c r="B555" s="41"/>
      <c r="C555" s="42"/>
      <c r="D555" s="43" t="str">
        <f t="shared" si="24"/>
        <v/>
      </c>
      <c r="E555" s="44" t="str">
        <f>IF($C555="","",INDEX(Summary!$J$3:$J$7,MATCH($C555,TaskListLeads,FALSE),1))</f>
        <v/>
      </c>
      <c r="F555" s="50"/>
      <c r="G555" s="45" t="str">
        <f t="shared" si="25"/>
        <v/>
      </c>
      <c r="H555" s="50"/>
      <c r="I555" s="45" t="str">
        <f t="shared" si="26"/>
        <v/>
      </c>
      <c r="J555" s="41"/>
    </row>
    <row r="556" spans="2:10" ht="39.950000000000003" customHeight="1" x14ac:dyDescent="0.25">
      <c r="B556" s="41"/>
      <c r="C556" s="42"/>
      <c r="D556" s="43" t="str">
        <f t="shared" si="24"/>
        <v/>
      </c>
      <c r="E556" s="44" t="str">
        <f>IF($C556="","",INDEX(Summary!$J$3:$J$7,MATCH($C556,TaskListLeads,FALSE),1))</f>
        <v/>
      </c>
      <c r="F556" s="50"/>
      <c r="G556" s="45" t="str">
        <f t="shared" si="25"/>
        <v/>
      </c>
      <c r="H556" s="50"/>
      <c r="I556" s="45" t="str">
        <f t="shared" si="26"/>
        <v/>
      </c>
      <c r="J556" s="41"/>
    </row>
    <row r="557" spans="2:10" ht="39.950000000000003" customHeight="1" x14ac:dyDescent="0.25">
      <c r="B557" s="41"/>
      <c r="C557" s="42"/>
      <c r="D557" s="43" t="str">
        <f t="shared" si="24"/>
        <v/>
      </c>
      <c r="E557" s="44" t="str">
        <f>IF($C557="","",INDEX(Summary!$J$3:$J$7,MATCH($C557,TaskListLeads,FALSE),1))</f>
        <v/>
      </c>
      <c r="F557" s="50"/>
      <c r="G557" s="45" t="str">
        <f t="shared" si="25"/>
        <v/>
      </c>
      <c r="H557" s="50"/>
      <c r="I557" s="45" t="str">
        <f t="shared" si="26"/>
        <v/>
      </c>
      <c r="J557" s="41"/>
    </row>
    <row r="558" spans="2:10" ht="39.950000000000003" customHeight="1" x14ac:dyDescent="0.25">
      <c r="B558" s="41"/>
      <c r="C558" s="42"/>
      <c r="D558" s="43" t="str">
        <f t="shared" si="24"/>
        <v/>
      </c>
      <c r="E558" s="44" t="str">
        <f>IF($C558="","",INDEX(Summary!$J$3:$J$7,MATCH($C558,TaskListLeads,FALSE),1))</f>
        <v/>
      </c>
      <c r="F558" s="50"/>
      <c r="G558" s="45" t="str">
        <f t="shared" si="25"/>
        <v/>
      </c>
      <c r="H558" s="50"/>
      <c r="I558" s="45" t="str">
        <f t="shared" si="26"/>
        <v/>
      </c>
      <c r="J558" s="41"/>
    </row>
    <row r="559" spans="2:10" ht="39.950000000000003" customHeight="1" x14ac:dyDescent="0.25">
      <c r="B559" s="41"/>
      <c r="C559" s="42"/>
      <c r="D559" s="43" t="str">
        <f t="shared" si="24"/>
        <v/>
      </c>
      <c r="E559" s="44" t="str">
        <f>IF($C559="","",INDEX(Summary!$J$3:$J$7,MATCH($C559,TaskListLeads,FALSE),1))</f>
        <v/>
      </c>
      <c r="F559" s="50"/>
      <c r="G559" s="45" t="str">
        <f t="shared" si="25"/>
        <v/>
      </c>
      <c r="H559" s="50"/>
      <c r="I559" s="45" t="str">
        <f t="shared" si="26"/>
        <v/>
      </c>
      <c r="J559" s="41"/>
    </row>
    <row r="560" spans="2:10" ht="39.950000000000003" customHeight="1" x14ac:dyDescent="0.25">
      <c r="B560" s="41"/>
      <c r="C560" s="42"/>
      <c r="D560" s="43" t="str">
        <f t="shared" si="24"/>
        <v/>
      </c>
      <c r="E560" s="44" t="str">
        <f>IF($C560="","",INDEX(Summary!$J$3:$J$7,MATCH($C560,TaskListLeads,FALSE),1))</f>
        <v/>
      </c>
      <c r="F560" s="50"/>
      <c r="G560" s="45" t="str">
        <f t="shared" si="25"/>
        <v/>
      </c>
      <c r="H560" s="50"/>
      <c r="I560" s="45" t="str">
        <f t="shared" si="26"/>
        <v/>
      </c>
      <c r="J560" s="41"/>
    </row>
    <row r="561" spans="2:10" ht="39.950000000000003" customHeight="1" x14ac:dyDescent="0.25">
      <c r="B561" s="41"/>
      <c r="C561" s="42"/>
      <c r="D561" s="43" t="str">
        <f t="shared" si="24"/>
        <v/>
      </c>
      <c r="E561" s="44" t="str">
        <f>IF($C561="","",INDEX(Summary!$J$3:$J$7,MATCH($C561,TaskListLeads,FALSE),1))</f>
        <v/>
      </c>
      <c r="F561" s="50"/>
      <c r="G561" s="45" t="str">
        <f t="shared" si="25"/>
        <v/>
      </c>
      <c r="H561" s="50"/>
      <c r="I561" s="45" t="str">
        <f t="shared" si="26"/>
        <v/>
      </c>
      <c r="J561" s="41"/>
    </row>
    <row r="562" spans="2:10" ht="39.950000000000003" customHeight="1" x14ac:dyDescent="0.25">
      <c r="B562" s="41"/>
      <c r="C562" s="42"/>
      <c r="D562" s="43" t="str">
        <f t="shared" si="24"/>
        <v/>
      </c>
      <c r="E562" s="44" t="str">
        <f>IF($C562="","",INDEX(Summary!$J$3:$J$7,MATCH($C562,TaskListLeads,FALSE),1))</f>
        <v/>
      </c>
      <c r="F562" s="50"/>
      <c r="G562" s="45" t="str">
        <f t="shared" si="25"/>
        <v/>
      </c>
      <c r="H562" s="50"/>
      <c r="I562" s="45" t="str">
        <f t="shared" si="26"/>
        <v/>
      </c>
      <c r="J562" s="41"/>
    </row>
    <row r="563" spans="2:10" ht="39.950000000000003" customHeight="1" x14ac:dyDescent="0.25">
      <c r="B563" s="41"/>
      <c r="C563" s="42"/>
      <c r="D563" s="43" t="str">
        <f t="shared" si="24"/>
        <v/>
      </c>
      <c r="E563" s="44" t="str">
        <f>IF($C563="","",INDEX(Summary!$J$3:$J$7,MATCH($C563,TaskListLeads,FALSE),1))</f>
        <v/>
      </c>
      <c r="F563" s="50"/>
      <c r="G563" s="45" t="str">
        <f t="shared" si="25"/>
        <v/>
      </c>
      <c r="H563" s="50"/>
      <c r="I563" s="45" t="str">
        <f t="shared" si="26"/>
        <v/>
      </c>
      <c r="J563" s="41"/>
    </row>
    <row r="564" spans="2:10" ht="39.950000000000003" customHeight="1" x14ac:dyDescent="0.25">
      <c r="B564" s="41"/>
      <c r="C564" s="42"/>
      <c r="D564" s="43" t="str">
        <f t="shared" si="24"/>
        <v/>
      </c>
      <c r="E564" s="44" t="str">
        <f>IF($C564="","",INDEX(Summary!$J$3:$J$7,MATCH($C564,TaskListLeads,FALSE),1))</f>
        <v/>
      </c>
      <c r="F564" s="50"/>
      <c r="G564" s="45" t="str">
        <f t="shared" si="25"/>
        <v/>
      </c>
      <c r="H564" s="50"/>
      <c r="I564" s="45" t="str">
        <f t="shared" si="26"/>
        <v/>
      </c>
      <c r="J564" s="41"/>
    </row>
    <row r="565" spans="2:10" ht="39.950000000000003" customHeight="1" x14ac:dyDescent="0.25">
      <c r="B565" s="41"/>
      <c r="C565" s="42"/>
      <c r="D565" s="43" t="str">
        <f t="shared" si="24"/>
        <v/>
      </c>
      <c r="E565" s="44" t="str">
        <f>IF($C565="","",INDEX(Summary!$J$3:$J$7,MATCH($C565,TaskListLeads,FALSE),1))</f>
        <v/>
      </c>
      <c r="F565" s="50"/>
      <c r="G565" s="45" t="str">
        <f t="shared" si="25"/>
        <v/>
      </c>
      <c r="H565" s="50"/>
      <c r="I565" s="45" t="str">
        <f t="shared" si="26"/>
        <v/>
      </c>
      <c r="J565" s="41"/>
    </row>
    <row r="566" spans="2:10" ht="39.950000000000003" customHeight="1" x14ac:dyDescent="0.25">
      <c r="B566" s="41"/>
      <c r="C566" s="42"/>
      <c r="D566" s="43" t="str">
        <f t="shared" si="24"/>
        <v/>
      </c>
      <c r="E566" s="44" t="str">
        <f>IF($C566="","",INDEX(Summary!$J$3:$J$7,MATCH($C566,TaskListLeads,FALSE),1))</f>
        <v/>
      </c>
      <c r="F566" s="50"/>
      <c r="G566" s="45" t="str">
        <f t="shared" si="25"/>
        <v/>
      </c>
      <c r="H566" s="50"/>
      <c r="I566" s="45" t="str">
        <f t="shared" si="26"/>
        <v/>
      </c>
      <c r="J566" s="41"/>
    </row>
    <row r="567" spans="2:10" ht="39.950000000000003" customHeight="1" x14ac:dyDescent="0.25">
      <c r="B567" s="41"/>
      <c r="C567" s="42"/>
      <c r="D567" s="43" t="str">
        <f t="shared" si="24"/>
        <v/>
      </c>
      <c r="E567" s="44" t="str">
        <f>IF($C567="","",INDEX(Summary!$J$3:$J$7,MATCH($C567,TaskListLeads,FALSE),1))</f>
        <v/>
      </c>
      <c r="F567" s="50"/>
      <c r="G567" s="45" t="str">
        <f t="shared" si="25"/>
        <v/>
      </c>
      <c r="H567" s="50"/>
      <c r="I567" s="45" t="str">
        <f t="shared" si="26"/>
        <v/>
      </c>
      <c r="J567" s="41"/>
    </row>
    <row r="568" spans="2:10" ht="39.950000000000003" customHeight="1" x14ac:dyDescent="0.25">
      <c r="B568" s="41"/>
      <c r="C568" s="42"/>
      <c r="D568" s="43" t="str">
        <f t="shared" si="24"/>
        <v/>
      </c>
      <c r="E568" s="44" t="str">
        <f>IF($C568="","",INDEX(Summary!$J$3:$J$7,MATCH($C568,TaskListLeads,FALSE),1))</f>
        <v/>
      </c>
      <c r="F568" s="50"/>
      <c r="G568" s="45" t="str">
        <f t="shared" si="25"/>
        <v/>
      </c>
      <c r="H568" s="50"/>
      <c r="I568" s="45" t="str">
        <f t="shared" si="26"/>
        <v/>
      </c>
      <c r="J568" s="41"/>
    </row>
    <row r="569" spans="2:10" ht="39.950000000000003" customHeight="1" x14ac:dyDescent="0.25">
      <c r="B569" s="41"/>
      <c r="C569" s="42"/>
      <c r="D569" s="43" t="str">
        <f t="shared" si="24"/>
        <v/>
      </c>
      <c r="E569" s="44" t="str">
        <f>IF($C569="","",INDEX(Summary!$J$3:$J$7,MATCH($C569,TaskListLeads,FALSE),1))</f>
        <v/>
      </c>
      <c r="F569" s="50"/>
      <c r="G569" s="45" t="str">
        <f t="shared" si="25"/>
        <v/>
      </c>
      <c r="H569" s="50"/>
      <c r="I569" s="45" t="str">
        <f t="shared" si="26"/>
        <v/>
      </c>
      <c r="J569" s="41"/>
    </row>
    <row r="570" spans="2:10" ht="39.950000000000003" customHeight="1" x14ac:dyDescent="0.25">
      <c r="B570" s="41"/>
      <c r="C570" s="42"/>
      <c r="D570" s="43" t="str">
        <f t="shared" si="24"/>
        <v/>
      </c>
      <c r="E570" s="44" t="str">
        <f>IF($C570="","",INDEX(Summary!$J$3:$J$7,MATCH($C570,TaskListLeads,FALSE),1))</f>
        <v/>
      </c>
      <c r="F570" s="50"/>
      <c r="G570" s="45" t="str">
        <f t="shared" si="25"/>
        <v/>
      </c>
      <c r="H570" s="50"/>
      <c r="I570" s="45" t="str">
        <f t="shared" si="26"/>
        <v/>
      </c>
      <c r="J570" s="41"/>
    </row>
    <row r="571" spans="2:10" ht="39.950000000000003" customHeight="1" x14ac:dyDescent="0.25">
      <c r="B571" s="41"/>
      <c r="C571" s="42"/>
      <c r="D571" s="43" t="str">
        <f t="shared" si="24"/>
        <v/>
      </c>
      <c r="E571" s="44" t="str">
        <f>IF($C571="","",INDEX(Summary!$J$3:$J$7,MATCH($C571,TaskListLeads,FALSE),1))</f>
        <v/>
      </c>
      <c r="F571" s="50"/>
      <c r="G571" s="45" t="str">
        <f t="shared" si="25"/>
        <v/>
      </c>
      <c r="H571" s="50"/>
      <c r="I571" s="45" t="str">
        <f t="shared" si="26"/>
        <v/>
      </c>
      <c r="J571" s="41"/>
    </row>
    <row r="572" spans="2:10" ht="39.950000000000003" customHeight="1" x14ac:dyDescent="0.25">
      <c r="B572" s="41"/>
      <c r="C572" s="42"/>
      <c r="D572" s="43" t="str">
        <f t="shared" si="24"/>
        <v/>
      </c>
      <c r="E572" s="44" t="str">
        <f>IF($C572="","",INDEX(Summary!$J$3:$J$7,MATCH($C572,TaskListLeads,FALSE),1))</f>
        <v/>
      </c>
      <c r="F572" s="50"/>
      <c r="G572" s="45" t="str">
        <f t="shared" si="25"/>
        <v/>
      </c>
      <c r="H572" s="50"/>
      <c r="I572" s="45" t="str">
        <f t="shared" si="26"/>
        <v/>
      </c>
      <c r="J572" s="41"/>
    </row>
    <row r="573" spans="2:10" ht="39.950000000000003" customHeight="1" x14ac:dyDescent="0.25">
      <c r="B573" s="41"/>
      <c r="C573" s="42"/>
      <c r="D573" s="43" t="str">
        <f t="shared" si="24"/>
        <v/>
      </c>
      <c r="E573" s="44" t="str">
        <f>IF($C573="","",INDEX(Summary!$J$3:$J$7,MATCH($C573,TaskListLeads,FALSE),1))</f>
        <v/>
      </c>
      <c r="F573" s="50"/>
      <c r="G573" s="45" t="str">
        <f t="shared" si="25"/>
        <v/>
      </c>
      <c r="H573" s="50"/>
      <c r="I573" s="45" t="str">
        <f t="shared" si="26"/>
        <v/>
      </c>
      <c r="J573" s="41"/>
    </row>
    <row r="574" spans="2:10" ht="39.950000000000003" customHeight="1" x14ac:dyDescent="0.25">
      <c r="B574" s="41"/>
      <c r="C574" s="42"/>
      <c r="D574" s="43" t="str">
        <f t="shared" si="24"/>
        <v/>
      </c>
      <c r="E574" s="44" t="str">
        <f>IF($C574="","",INDEX(Summary!$J$3:$J$7,MATCH($C574,TaskListLeads,FALSE),1))</f>
        <v/>
      </c>
      <c r="F574" s="50"/>
      <c r="G574" s="45" t="str">
        <f t="shared" si="25"/>
        <v/>
      </c>
      <c r="H574" s="50"/>
      <c r="I574" s="45" t="str">
        <f t="shared" si="26"/>
        <v/>
      </c>
      <c r="J574" s="41"/>
    </row>
    <row r="575" spans="2:10" ht="39.950000000000003" customHeight="1" x14ac:dyDescent="0.25">
      <c r="B575" s="41"/>
      <c r="C575" s="42"/>
      <c r="D575" s="43" t="str">
        <f t="shared" si="24"/>
        <v/>
      </c>
      <c r="E575" s="44" t="str">
        <f>IF($C575="","",INDEX(Summary!$J$3:$J$7,MATCH($C575,TaskListLeads,FALSE),1))</f>
        <v/>
      </c>
      <c r="F575" s="50"/>
      <c r="G575" s="45" t="str">
        <f t="shared" si="25"/>
        <v/>
      </c>
      <c r="H575" s="50"/>
      <c r="I575" s="45" t="str">
        <f t="shared" si="26"/>
        <v/>
      </c>
      <c r="J575" s="41"/>
    </row>
    <row r="576" spans="2:10" ht="39.950000000000003" customHeight="1" x14ac:dyDescent="0.25">
      <c r="B576" s="41"/>
      <c r="C576" s="42"/>
      <c r="D576" s="43" t="str">
        <f t="shared" si="24"/>
        <v/>
      </c>
      <c r="E576" s="44" t="str">
        <f>IF($C576="","",INDEX(Summary!$J$3:$J$7,MATCH($C576,TaskListLeads,FALSE),1))</f>
        <v/>
      </c>
      <c r="F576" s="50"/>
      <c r="G576" s="45" t="str">
        <f t="shared" si="25"/>
        <v/>
      </c>
      <c r="H576" s="50"/>
      <c r="I576" s="45" t="str">
        <f t="shared" si="26"/>
        <v/>
      </c>
      <c r="J576" s="41"/>
    </row>
    <row r="577" spans="2:10" ht="39.950000000000003" customHeight="1" x14ac:dyDescent="0.25">
      <c r="B577" s="41"/>
      <c r="C577" s="42"/>
      <c r="D577" s="43" t="str">
        <f t="shared" si="24"/>
        <v/>
      </c>
      <c r="E577" s="44" t="str">
        <f>IF($C577="","",INDEX(Summary!$J$3:$J$7,MATCH($C577,TaskListLeads,FALSE),1))</f>
        <v/>
      </c>
      <c r="F577" s="50"/>
      <c r="G577" s="45" t="str">
        <f t="shared" si="25"/>
        <v/>
      </c>
      <c r="H577" s="50"/>
      <c r="I577" s="45" t="str">
        <f t="shared" si="26"/>
        <v/>
      </c>
      <c r="J577" s="41"/>
    </row>
    <row r="578" spans="2:10" ht="39.950000000000003" customHeight="1" x14ac:dyDescent="0.25">
      <c r="B578" s="41"/>
      <c r="C578" s="42"/>
      <c r="D578" s="43" t="str">
        <f t="shared" si="24"/>
        <v/>
      </c>
      <c r="E578" s="44" t="str">
        <f>IF($C578="","",INDEX(Summary!$J$3:$J$7,MATCH($C578,TaskListLeads,FALSE),1))</f>
        <v/>
      </c>
      <c r="F578" s="50"/>
      <c r="G578" s="45" t="str">
        <f t="shared" si="25"/>
        <v/>
      </c>
      <c r="H578" s="50"/>
      <c r="I578" s="45" t="str">
        <f t="shared" si="26"/>
        <v/>
      </c>
      <c r="J578" s="41"/>
    </row>
    <row r="579" spans="2:10" ht="39.950000000000003" customHeight="1" x14ac:dyDescent="0.25">
      <c r="B579" s="41"/>
      <c r="C579" s="42"/>
      <c r="D579" s="43" t="str">
        <f t="shared" si="24"/>
        <v/>
      </c>
      <c r="E579" s="44" t="str">
        <f>IF($C579="","",INDEX(Summary!$J$3:$J$7,MATCH($C579,TaskListLeads,FALSE),1))</f>
        <v/>
      </c>
      <c r="F579" s="50"/>
      <c r="G579" s="45" t="str">
        <f t="shared" si="25"/>
        <v/>
      </c>
      <c r="H579" s="50"/>
      <c r="I579" s="45" t="str">
        <f t="shared" si="26"/>
        <v/>
      </c>
      <c r="J579" s="41"/>
    </row>
    <row r="580" spans="2:10" ht="39.950000000000003" customHeight="1" x14ac:dyDescent="0.25">
      <c r="B580" s="41"/>
      <c r="C580" s="42"/>
      <c r="D580" s="43" t="str">
        <f t="shared" si="24"/>
        <v/>
      </c>
      <c r="E580" s="44" t="str">
        <f>IF($C580="","",INDEX(Summary!$J$3:$J$7,MATCH($C580,TaskListLeads,FALSE),1))</f>
        <v/>
      </c>
      <c r="F580" s="50"/>
      <c r="G580" s="45" t="str">
        <f t="shared" si="25"/>
        <v/>
      </c>
      <c r="H580" s="50"/>
      <c r="I580" s="45" t="str">
        <f t="shared" si="26"/>
        <v/>
      </c>
      <c r="J580" s="41"/>
    </row>
    <row r="581" spans="2:10" ht="39.950000000000003" customHeight="1" x14ac:dyDescent="0.25">
      <c r="B581" s="41"/>
      <c r="C581" s="42"/>
      <c r="D581" s="43" t="str">
        <f t="shared" si="24"/>
        <v/>
      </c>
      <c r="E581" s="44" t="str">
        <f>IF($C581="","",INDEX(Summary!$J$3:$J$7,MATCH($C581,TaskListLeads,FALSE),1))</f>
        <v/>
      </c>
      <c r="F581" s="50"/>
      <c r="G581" s="45" t="str">
        <f t="shared" si="25"/>
        <v/>
      </c>
      <c r="H581" s="50"/>
      <c r="I581" s="45" t="str">
        <f t="shared" si="26"/>
        <v/>
      </c>
      <c r="J581" s="41"/>
    </row>
    <row r="582" spans="2:10" ht="39.950000000000003" customHeight="1" x14ac:dyDescent="0.25">
      <c r="B582" s="41"/>
      <c r="C582" s="42"/>
      <c r="D582" s="43" t="str">
        <f t="shared" si="24"/>
        <v/>
      </c>
      <c r="E582" s="44" t="str">
        <f>IF($C582="","",INDEX(Summary!$J$3:$J$7,MATCH($C582,TaskListLeads,FALSE),1))</f>
        <v/>
      </c>
      <c r="F582" s="50"/>
      <c r="G582" s="45" t="str">
        <f t="shared" si="25"/>
        <v/>
      </c>
      <c r="H582" s="50"/>
      <c r="I582" s="45" t="str">
        <f t="shared" si="26"/>
        <v/>
      </c>
      <c r="J582" s="41"/>
    </row>
    <row r="583" spans="2:10" ht="39.950000000000003" customHeight="1" x14ac:dyDescent="0.25">
      <c r="B583" s="41"/>
      <c r="C583" s="42"/>
      <c r="D583" s="43" t="str">
        <f t="shared" si="24"/>
        <v/>
      </c>
      <c r="E583" s="44" t="str">
        <f>IF($C583="","",INDEX(Summary!$J$3:$J$7,MATCH($C583,TaskListLeads,FALSE),1))</f>
        <v/>
      </c>
      <c r="F583" s="50"/>
      <c r="G583" s="45" t="str">
        <f t="shared" si="25"/>
        <v/>
      </c>
      <c r="H583" s="50"/>
      <c r="I583" s="45" t="str">
        <f t="shared" si="26"/>
        <v/>
      </c>
      <c r="J583" s="41"/>
    </row>
    <row r="584" spans="2:10" ht="39.950000000000003" customHeight="1" x14ac:dyDescent="0.25">
      <c r="B584" s="41"/>
      <c r="C584" s="42"/>
      <c r="D584" s="43" t="str">
        <f t="shared" si="24"/>
        <v/>
      </c>
      <c r="E584" s="44" t="str">
        <f>IF($C584="","",INDEX(Summary!$J$3:$J$7,MATCH($C584,TaskListLeads,FALSE),1))</f>
        <v/>
      </c>
      <c r="F584" s="50"/>
      <c r="G584" s="45" t="str">
        <f t="shared" si="25"/>
        <v/>
      </c>
      <c r="H584" s="50"/>
      <c r="I584" s="45" t="str">
        <f t="shared" si="26"/>
        <v/>
      </c>
      <c r="J584" s="41"/>
    </row>
    <row r="585" spans="2:10" ht="39.950000000000003" customHeight="1" x14ac:dyDescent="0.25">
      <c r="B585" s="41"/>
      <c r="C585" s="42"/>
      <c r="D585" s="43" t="str">
        <f t="shared" si="24"/>
        <v/>
      </c>
      <c r="E585" s="44" t="str">
        <f>IF($C585="","",INDEX(Summary!$J$3:$J$7,MATCH($C585,TaskListLeads,FALSE),1))</f>
        <v/>
      </c>
      <c r="F585" s="50"/>
      <c r="G585" s="45" t="str">
        <f t="shared" si="25"/>
        <v/>
      </c>
      <c r="H585" s="50"/>
      <c r="I585" s="45" t="str">
        <f t="shared" si="26"/>
        <v/>
      </c>
      <c r="J585" s="41"/>
    </row>
    <row r="586" spans="2:10" ht="39.950000000000003" customHeight="1" x14ac:dyDescent="0.25">
      <c r="B586" s="41"/>
      <c r="C586" s="42"/>
      <c r="D586" s="43" t="str">
        <f t="shared" si="24"/>
        <v/>
      </c>
      <c r="E586" s="44" t="str">
        <f>IF($C586="","",INDEX(Summary!$J$3:$J$7,MATCH($C586,TaskListLeads,FALSE),1))</f>
        <v/>
      </c>
      <c r="F586" s="50"/>
      <c r="G586" s="45" t="str">
        <f t="shared" si="25"/>
        <v/>
      </c>
      <c r="H586" s="50"/>
      <c r="I586" s="45" t="str">
        <f t="shared" si="26"/>
        <v/>
      </c>
      <c r="J586" s="41"/>
    </row>
    <row r="587" spans="2:10" ht="39.950000000000003" customHeight="1" x14ac:dyDescent="0.25">
      <c r="B587" s="41"/>
      <c r="C587" s="42"/>
      <c r="D587" s="43" t="str">
        <f t="shared" ref="D587:D650" si="27">IF($C587="","",INDEX(TaskListCostCentres,MATCH($C587,TaskListLeads,FALSE),1))</f>
        <v/>
      </c>
      <c r="E587" s="44" t="str">
        <f>IF($C587="","",INDEX(Summary!$J$3:$J$7,MATCH($C587,TaskListLeads,FALSE),1))</f>
        <v/>
      </c>
      <c r="F587" s="50"/>
      <c r="G587" s="45" t="str">
        <f t="shared" ref="G587:G650" si="28">IF($F587="","",INDEX(ControlWeeksOf,MATCH($F587,ControlWeeksOf,TRUE),1))</f>
        <v/>
      </c>
      <c r="H587" s="50"/>
      <c r="I587" s="45" t="str">
        <f t="shared" ref="I587:I650" si="29">IF($H587="","",INDEX(ControlWeeksOf,MATCH($H587,ControlWeeksOf,TRUE),1))</f>
        <v/>
      </c>
      <c r="J587" s="41"/>
    </row>
    <row r="588" spans="2:10" ht="39.950000000000003" customHeight="1" x14ac:dyDescent="0.25">
      <c r="B588" s="41"/>
      <c r="C588" s="42"/>
      <c r="D588" s="43" t="str">
        <f t="shared" si="27"/>
        <v/>
      </c>
      <c r="E588" s="44" t="str">
        <f>IF($C588="","",INDEX(Summary!$J$3:$J$7,MATCH($C588,TaskListLeads,FALSE),1))</f>
        <v/>
      </c>
      <c r="F588" s="50"/>
      <c r="G588" s="45" t="str">
        <f t="shared" si="28"/>
        <v/>
      </c>
      <c r="H588" s="50"/>
      <c r="I588" s="45" t="str">
        <f t="shared" si="29"/>
        <v/>
      </c>
      <c r="J588" s="41"/>
    </row>
    <row r="589" spans="2:10" ht="39.950000000000003" customHeight="1" x14ac:dyDescent="0.25">
      <c r="B589" s="41"/>
      <c r="C589" s="42"/>
      <c r="D589" s="43" t="str">
        <f t="shared" si="27"/>
        <v/>
      </c>
      <c r="E589" s="44" t="str">
        <f>IF($C589="","",INDEX(Summary!$J$3:$J$7,MATCH($C589,TaskListLeads,FALSE),1))</f>
        <v/>
      </c>
      <c r="F589" s="50"/>
      <c r="G589" s="45" t="str">
        <f t="shared" si="28"/>
        <v/>
      </c>
      <c r="H589" s="50"/>
      <c r="I589" s="45" t="str">
        <f t="shared" si="29"/>
        <v/>
      </c>
      <c r="J589" s="41"/>
    </row>
    <row r="590" spans="2:10" ht="39.950000000000003" customHeight="1" x14ac:dyDescent="0.25">
      <c r="B590" s="41"/>
      <c r="C590" s="42"/>
      <c r="D590" s="43" t="str">
        <f t="shared" si="27"/>
        <v/>
      </c>
      <c r="E590" s="44" t="str">
        <f>IF($C590="","",INDEX(Summary!$J$3:$J$7,MATCH($C590,TaskListLeads,FALSE),1))</f>
        <v/>
      </c>
      <c r="F590" s="50"/>
      <c r="G590" s="45" t="str">
        <f t="shared" si="28"/>
        <v/>
      </c>
      <c r="H590" s="50"/>
      <c r="I590" s="45" t="str">
        <f t="shared" si="29"/>
        <v/>
      </c>
      <c r="J590" s="41"/>
    </row>
    <row r="591" spans="2:10" ht="39.950000000000003" customHeight="1" x14ac:dyDescent="0.25">
      <c r="B591" s="41"/>
      <c r="C591" s="42"/>
      <c r="D591" s="43" t="str">
        <f t="shared" si="27"/>
        <v/>
      </c>
      <c r="E591" s="44" t="str">
        <f>IF($C591="","",INDEX(Summary!$J$3:$J$7,MATCH($C591,TaskListLeads,FALSE),1))</f>
        <v/>
      </c>
      <c r="F591" s="50"/>
      <c r="G591" s="45" t="str">
        <f t="shared" si="28"/>
        <v/>
      </c>
      <c r="H591" s="50"/>
      <c r="I591" s="45" t="str">
        <f t="shared" si="29"/>
        <v/>
      </c>
      <c r="J591" s="41"/>
    </row>
    <row r="592" spans="2:10" ht="39.950000000000003" customHeight="1" x14ac:dyDescent="0.25">
      <c r="B592" s="41"/>
      <c r="C592" s="42"/>
      <c r="D592" s="43" t="str">
        <f t="shared" si="27"/>
        <v/>
      </c>
      <c r="E592" s="44" t="str">
        <f>IF($C592="","",INDEX(Summary!$J$3:$J$7,MATCH($C592,TaskListLeads,FALSE),1))</f>
        <v/>
      </c>
      <c r="F592" s="50"/>
      <c r="G592" s="45" t="str">
        <f t="shared" si="28"/>
        <v/>
      </c>
      <c r="H592" s="50"/>
      <c r="I592" s="45" t="str">
        <f t="shared" si="29"/>
        <v/>
      </c>
      <c r="J592" s="41"/>
    </row>
    <row r="593" spans="2:10" ht="39.950000000000003" customHeight="1" x14ac:dyDescent="0.25">
      <c r="B593" s="41"/>
      <c r="C593" s="42"/>
      <c r="D593" s="43" t="str">
        <f t="shared" si="27"/>
        <v/>
      </c>
      <c r="E593" s="44" t="str">
        <f>IF($C593="","",INDEX(Summary!$J$3:$J$7,MATCH($C593,TaskListLeads,FALSE),1))</f>
        <v/>
      </c>
      <c r="F593" s="50"/>
      <c r="G593" s="45" t="str">
        <f t="shared" si="28"/>
        <v/>
      </c>
      <c r="H593" s="50"/>
      <c r="I593" s="45" t="str">
        <f t="shared" si="29"/>
        <v/>
      </c>
      <c r="J593" s="41"/>
    </row>
    <row r="594" spans="2:10" ht="39.950000000000003" customHeight="1" x14ac:dyDescent="0.25">
      <c r="B594" s="41"/>
      <c r="C594" s="42"/>
      <c r="D594" s="43" t="str">
        <f t="shared" si="27"/>
        <v/>
      </c>
      <c r="E594" s="44" t="str">
        <f>IF($C594="","",INDEX(Summary!$J$3:$J$7,MATCH($C594,TaskListLeads,FALSE),1))</f>
        <v/>
      </c>
      <c r="F594" s="50"/>
      <c r="G594" s="45" t="str">
        <f t="shared" si="28"/>
        <v/>
      </c>
      <c r="H594" s="50"/>
      <c r="I594" s="45" t="str">
        <f t="shared" si="29"/>
        <v/>
      </c>
      <c r="J594" s="41"/>
    </row>
    <row r="595" spans="2:10" ht="39.950000000000003" customHeight="1" x14ac:dyDescent="0.25">
      <c r="B595" s="41"/>
      <c r="C595" s="42"/>
      <c r="D595" s="43" t="str">
        <f t="shared" si="27"/>
        <v/>
      </c>
      <c r="E595" s="44" t="str">
        <f>IF($C595="","",INDEX(Summary!$J$3:$J$7,MATCH($C595,TaskListLeads,FALSE),1))</f>
        <v/>
      </c>
      <c r="F595" s="50"/>
      <c r="G595" s="45" t="str">
        <f t="shared" si="28"/>
        <v/>
      </c>
      <c r="H595" s="50"/>
      <c r="I595" s="45" t="str">
        <f t="shared" si="29"/>
        <v/>
      </c>
      <c r="J595" s="41"/>
    </row>
    <row r="596" spans="2:10" ht="39.950000000000003" customHeight="1" x14ac:dyDescent="0.25">
      <c r="B596" s="41"/>
      <c r="C596" s="42"/>
      <c r="D596" s="43" t="str">
        <f t="shared" si="27"/>
        <v/>
      </c>
      <c r="E596" s="44" t="str">
        <f>IF($C596="","",INDEX(Summary!$J$3:$J$7,MATCH($C596,TaskListLeads,FALSE),1))</f>
        <v/>
      </c>
      <c r="F596" s="50"/>
      <c r="G596" s="45" t="str">
        <f t="shared" si="28"/>
        <v/>
      </c>
      <c r="H596" s="50"/>
      <c r="I596" s="45" t="str">
        <f t="shared" si="29"/>
        <v/>
      </c>
      <c r="J596" s="41"/>
    </row>
    <row r="597" spans="2:10" ht="39.950000000000003" customHeight="1" x14ac:dyDescent="0.25">
      <c r="B597" s="41"/>
      <c r="C597" s="42"/>
      <c r="D597" s="43" t="str">
        <f t="shared" si="27"/>
        <v/>
      </c>
      <c r="E597" s="44" t="str">
        <f>IF($C597="","",INDEX(Summary!$J$3:$J$7,MATCH($C597,TaskListLeads,FALSE),1))</f>
        <v/>
      </c>
      <c r="F597" s="50"/>
      <c r="G597" s="45" t="str">
        <f t="shared" si="28"/>
        <v/>
      </c>
      <c r="H597" s="50"/>
      <c r="I597" s="45" t="str">
        <f t="shared" si="29"/>
        <v/>
      </c>
      <c r="J597" s="41"/>
    </row>
    <row r="598" spans="2:10" ht="39.950000000000003" customHeight="1" x14ac:dyDescent="0.25">
      <c r="B598" s="41"/>
      <c r="C598" s="42"/>
      <c r="D598" s="43" t="str">
        <f t="shared" si="27"/>
        <v/>
      </c>
      <c r="E598" s="44" t="str">
        <f>IF($C598="","",INDEX(Summary!$J$3:$J$7,MATCH($C598,TaskListLeads,FALSE),1))</f>
        <v/>
      </c>
      <c r="F598" s="50"/>
      <c r="G598" s="45" t="str">
        <f t="shared" si="28"/>
        <v/>
      </c>
      <c r="H598" s="50"/>
      <c r="I598" s="45" t="str">
        <f t="shared" si="29"/>
        <v/>
      </c>
      <c r="J598" s="41"/>
    </row>
    <row r="599" spans="2:10" ht="39.950000000000003" customHeight="1" x14ac:dyDescent="0.25">
      <c r="B599" s="41"/>
      <c r="C599" s="42"/>
      <c r="D599" s="43" t="str">
        <f t="shared" si="27"/>
        <v/>
      </c>
      <c r="E599" s="44" t="str">
        <f>IF($C599="","",INDEX(Summary!$J$3:$J$7,MATCH($C599,TaskListLeads,FALSE),1))</f>
        <v/>
      </c>
      <c r="F599" s="50"/>
      <c r="G599" s="45" t="str">
        <f t="shared" si="28"/>
        <v/>
      </c>
      <c r="H599" s="50"/>
      <c r="I599" s="45" t="str">
        <f t="shared" si="29"/>
        <v/>
      </c>
      <c r="J599" s="41"/>
    </row>
    <row r="600" spans="2:10" ht="39.950000000000003" customHeight="1" x14ac:dyDescent="0.25">
      <c r="B600" s="41"/>
      <c r="C600" s="42"/>
      <c r="D600" s="43" t="str">
        <f t="shared" si="27"/>
        <v/>
      </c>
      <c r="E600" s="44" t="str">
        <f>IF($C600="","",INDEX(Summary!$J$3:$J$7,MATCH($C600,TaskListLeads,FALSE),1))</f>
        <v/>
      </c>
      <c r="F600" s="50"/>
      <c r="G600" s="45" t="str">
        <f t="shared" si="28"/>
        <v/>
      </c>
      <c r="H600" s="50"/>
      <c r="I600" s="45" t="str">
        <f t="shared" si="29"/>
        <v/>
      </c>
      <c r="J600" s="41"/>
    </row>
    <row r="601" spans="2:10" ht="39.950000000000003" customHeight="1" x14ac:dyDescent="0.25">
      <c r="B601" s="41"/>
      <c r="C601" s="42"/>
      <c r="D601" s="43" t="str">
        <f t="shared" si="27"/>
        <v/>
      </c>
      <c r="E601" s="44" t="str">
        <f>IF($C601="","",INDEX(Summary!$J$3:$J$7,MATCH($C601,TaskListLeads,FALSE),1))</f>
        <v/>
      </c>
      <c r="F601" s="50"/>
      <c r="G601" s="45" t="str">
        <f t="shared" si="28"/>
        <v/>
      </c>
      <c r="H601" s="50"/>
      <c r="I601" s="45" t="str">
        <f t="shared" si="29"/>
        <v/>
      </c>
      <c r="J601" s="41"/>
    </row>
    <row r="602" spans="2:10" ht="39.950000000000003" customHeight="1" x14ac:dyDescent="0.25">
      <c r="B602" s="41"/>
      <c r="C602" s="42"/>
      <c r="D602" s="43" t="str">
        <f t="shared" si="27"/>
        <v/>
      </c>
      <c r="E602" s="44" t="str">
        <f>IF($C602="","",INDEX(Summary!$J$3:$J$7,MATCH($C602,TaskListLeads,FALSE),1))</f>
        <v/>
      </c>
      <c r="F602" s="50"/>
      <c r="G602" s="45" t="str">
        <f t="shared" si="28"/>
        <v/>
      </c>
      <c r="H602" s="50"/>
      <c r="I602" s="45" t="str">
        <f t="shared" si="29"/>
        <v/>
      </c>
      <c r="J602" s="41"/>
    </row>
    <row r="603" spans="2:10" ht="39.950000000000003" customHeight="1" x14ac:dyDescent="0.25">
      <c r="B603" s="41"/>
      <c r="C603" s="42"/>
      <c r="D603" s="43" t="str">
        <f t="shared" si="27"/>
        <v/>
      </c>
      <c r="E603" s="44" t="str">
        <f>IF($C603="","",INDEX(Summary!$J$3:$J$7,MATCH($C603,TaskListLeads,FALSE),1))</f>
        <v/>
      </c>
      <c r="F603" s="50"/>
      <c r="G603" s="45" t="str">
        <f t="shared" si="28"/>
        <v/>
      </c>
      <c r="H603" s="50"/>
      <c r="I603" s="45" t="str">
        <f t="shared" si="29"/>
        <v/>
      </c>
      <c r="J603" s="41"/>
    </row>
    <row r="604" spans="2:10" ht="39.950000000000003" customHeight="1" x14ac:dyDescent="0.25">
      <c r="B604" s="41"/>
      <c r="C604" s="42"/>
      <c r="D604" s="43" t="str">
        <f t="shared" si="27"/>
        <v/>
      </c>
      <c r="E604" s="44" t="str">
        <f>IF($C604="","",INDEX(Summary!$J$3:$J$7,MATCH($C604,TaskListLeads,FALSE),1))</f>
        <v/>
      </c>
      <c r="F604" s="50"/>
      <c r="G604" s="45" t="str">
        <f t="shared" si="28"/>
        <v/>
      </c>
      <c r="H604" s="50"/>
      <c r="I604" s="45" t="str">
        <f t="shared" si="29"/>
        <v/>
      </c>
      <c r="J604" s="41"/>
    </row>
    <row r="605" spans="2:10" ht="39.950000000000003" customHeight="1" x14ac:dyDescent="0.25">
      <c r="B605" s="41"/>
      <c r="C605" s="42"/>
      <c r="D605" s="43" t="str">
        <f t="shared" si="27"/>
        <v/>
      </c>
      <c r="E605" s="44" t="str">
        <f>IF($C605="","",INDEX(Summary!$J$3:$J$7,MATCH($C605,TaskListLeads,FALSE),1))</f>
        <v/>
      </c>
      <c r="F605" s="50"/>
      <c r="G605" s="45" t="str">
        <f t="shared" si="28"/>
        <v/>
      </c>
      <c r="H605" s="50"/>
      <c r="I605" s="45" t="str">
        <f t="shared" si="29"/>
        <v/>
      </c>
      <c r="J605" s="41"/>
    </row>
    <row r="606" spans="2:10" ht="39.950000000000003" customHeight="1" x14ac:dyDescent="0.25">
      <c r="B606" s="41"/>
      <c r="C606" s="42"/>
      <c r="D606" s="43" t="str">
        <f t="shared" si="27"/>
        <v/>
      </c>
      <c r="E606" s="44" t="str">
        <f>IF($C606="","",INDEX(Summary!$J$3:$J$7,MATCH($C606,TaskListLeads,FALSE),1))</f>
        <v/>
      </c>
      <c r="F606" s="50"/>
      <c r="G606" s="45" t="str">
        <f t="shared" si="28"/>
        <v/>
      </c>
      <c r="H606" s="50"/>
      <c r="I606" s="45" t="str">
        <f t="shared" si="29"/>
        <v/>
      </c>
      <c r="J606" s="41"/>
    </row>
    <row r="607" spans="2:10" ht="39.950000000000003" customHeight="1" x14ac:dyDescent="0.25">
      <c r="B607" s="41"/>
      <c r="C607" s="42"/>
      <c r="D607" s="43" t="str">
        <f t="shared" si="27"/>
        <v/>
      </c>
      <c r="E607" s="44" t="str">
        <f>IF($C607="","",INDEX(Summary!$J$3:$J$7,MATCH($C607,TaskListLeads,FALSE),1))</f>
        <v/>
      </c>
      <c r="F607" s="50"/>
      <c r="G607" s="45" t="str">
        <f t="shared" si="28"/>
        <v/>
      </c>
      <c r="H607" s="50"/>
      <c r="I607" s="45" t="str">
        <f t="shared" si="29"/>
        <v/>
      </c>
      <c r="J607" s="41"/>
    </row>
    <row r="608" spans="2:10" ht="39.950000000000003" customHeight="1" x14ac:dyDescent="0.25">
      <c r="B608" s="41"/>
      <c r="C608" s="42"/>
      <c r="D608" s="43" t="str">
        <f t="shared" si="27"/>
        <v/>
      </c>
      <c r="E608" s="44" t="str">
        <f>IF($C608="","",INDEX(Summary!$J$3:$J$7,MATCH($C608,TaskListLeads,FALSE),1))</f>
        <v/>
      </c>
      <c r="F608" s="50"/>
      <c r="G608" s="45" t="str">
        <f t="shared" si="28"/>
        <v/>
      </c>
      <c r="H608" s="50"/>
      <c r="I608" s="45" t="str">
        <f t="shared" si="29"/>
        <v/>
      </c>
      <c r="J608" s="41"/>
    </row>
    <row r="609" spans="2:10" ht="39.950000000000003" customHeight="1" x14ac:dyDescent="0.25">
      <c r="B609" s="41"/>
      <c r="C609" s="42"/>
      <c r="D609" s="43" t="str">
        <f t="shared" si="27"/>
        <v/>
      </c>
      <c r="E609" s="44" t="str">
        <f>IF($C609="","",INDEX(Summary!$J$3:$J$7,MATCH($C609,TaskListLeads,FALSE),1))</f>
        <v/>
      </c>
      <c r="F609" s="50"/>
      <c r="G609" s="45" t="str">
        <f t="shared" si="28"/>
        <v/>
      </c>
      <c r="H609" s="50"/>
      <c r="I609" s="45" t="str">
        <f t="shared" si="29"/>
        <v/>
      </c>
      <c r="J609" s="41"/>
    </row>
    <row r="610" spans="2:10" ht="39.950000000000003" customHeight="1" x14ac:dyDescent="0.25">
      <c r="B610" s="41"/>
      <c r="C610" s="42"/>
      <c r="D610" s="43" t="str">
        <f t="shared" si="27"/>
        <v/>
      </c>
      <c r="E610" s="44" t="str">
        <f>IF($C610="","",INDEX(Summary!$J$3:$J$7,MATCH($C610,TaskListLeads,FALSE),1))</f>
        <v/>
      </c>
      <c r="F610" s="50"/>
      <c r="G610" s="45" t="str">
        <f t="shared" si="28"/>
        <v/>
      </c>
      <c r="H610" s="50"/>
      <c r="I610" s="45" t="str">
        <f t="shared" si="29"/>
        <v/>
      </c>
      <c r="J610" s="41"/>
    </row>
    <row r="611" spans="2:10" ht="39.950000000000003" customHeight="1" x14ac:dyDescent="0.25">
      <c r="B611" s="41"/>
      <c r="C611" s="42"/>
      <c r="D611" s="43" t="str">
        <f t="shared" si="27"/>
        <v/>
      </c>
      <c r="E611" s="44" t="str">
        <f>IF($C611="","",INDEX(Summary!$J$3:$J$7,MATCH($C611,TaskListLeads,FALSE),1))</f>
        <v/>
      </c>
      <c r="F611" s="50"/>
      <c r="G611" s="45" t="str">
        <f t="shared" si="28"/>
        <v/>
      </c>
      <c r="H611" s="50"/>
      <c r="I611" s="45" t="str">
        <f t="shared" si="29"/>
        <v/>
      </c>
      <c r="J611" s="41"/>
    </row>
    <row r="612" spans="2:10" ht="39.950000000000003" customHeight="1" x14ac:dyDescent="0.25">
      <c r="B612" s="41"/>
      <c r="C612" s="42"/>
      <c r="D612" s="43" t="str">
        <f t="shared" si="27"/>
        <v/>
      </c>
      <c r="E612" s="44" t="str">
        <f>IF($C612="","",INDEX(Summary!$J$3:$J$7,MATCH($C612,TaskListLeads,FALSE),1))</f>
        <v/>
      </c>
      <c r="F612" s="50"/>
      <c r="G612" s="45" t="str">
        <f t="shared" si="28"/>
        <v/>
      </c>
      <c r="H612" s="50"/>
      <c r="I612" s="45" t="str">
        <f t="shared" si="29"/>
        <v/>
      </c>
      <c r="J612" s="41"/>
    </row>
    <row r="613" spans="2:10" ht="39.950000000000003" customHeight="1" x14ac:dyDescent="0.25">
      <c r="B613" s="41"/>
      <c r="C613" s="42"/>
      <c r="D613" s="43" t="str">
        <f t="shared" si="27"/>
        <v/>
      </c>
      <c r="E613" s="44" t="str">
        <f>IF($C613="","",INDEX(Summary!$J$3:$J$7,MATCH($C613,TaskListLeads,FALSE),1))</f>
        <v/>
      </c>
      <c r="F613" s="50"/>
      <c r="G613" s="45" t="str">
        <f t="shared" si="28"/>
        <v/>
      </c>
      <c r="H613" s="50"/>
      <c r="I613" s="45" t="str">
        <f t="shared" si="29"/>
        <v/>
      </c>
      <c r="J613" s="41"/>
    </row>
    <row r="614" spans="2:10" ht="39.950000000000003" customHeight="1" x14ac:dyDescent="0.25">
      <c r="B614" s="41"/>
      <c r="C614" s="42"/>
      <c r="D614" s="43" t="str">
        <f t="shared" si="27"/>
        <v/>
      </c>
      <c r="E614" s="44" t="str">
        <f>IF($C614="","",INDEX(Summary!$J$3:$J$7,MATCH($C614,TaskListLeads,FALSE),1))</f>
        <v/>
      </c>
      <c r="F614" s="50"/>
      <c r="G614" s="45" t="str">
        <f t="shared" si="28"/>
        <v/>
      </c>
      <c r="H614" s="50"/>
      <c r="I614" s="45" t="str">
        <f t="shared" si="29"/>
        <v/>
      </c>
      <c r="J614" s="41"/>
    </row>
    <row r="615" spans="2:10" ht="39.950000000000003" customHeight="1" x14ac:dyDescent="0.25">
      <c r="B615" s="41"/>
      <c r="C615" s="42"/>
      <c r="D615" s="43" t="str">
        <f t="shared" si="27"/>
        <v/>
      </c>
      <c r="E615" s="44" t="str">
        <f>IF($C615="","",INDEX(Summary!$J$3:$J$7,MATCH($C615,TaskListLeads,FALSE),1))</f>
        <v/>
      </c>
      <c r="F615" s="50"/>
      <c r="G615" s="45" t="str">
        <f t="shared" si="28"/>
        <v/>
      </c>
      <c r="H615" s="50"/>
      <c r="I615" s="45" t="str">
        <f t="shared" si="29"/>
        <v/>
      </c>
      <c r="J615" s="41"/>
    </row>
    <row r="616" spans="2:10" ht="39.950000000000003" customHeight="1" x14ac:dyDescent="0.25">
      <c r="B616" s="41"/>
      <c r="C616" s="42"/>
      <c r="D616" s="43" t="str">
        <f t="shared" si="27"/>
        <v/>
      </c>
      <c r="E616" s="44" t="str">
        <f>IF($C616="","",INDEX(Summary!$J$3:$J$7,MATCH($C616,TaskListLeads,FALSE),1))</f>
        <v/>
      </c>
      <c r="F616" s="50"/>
      <c r="G616" s="45" t="str">
        <f t="shared" si="28"/>
        <v/>
      </c>
      <c r="H616" s="50"/>
      <c r="I616" s="45" t="str">
        <f t="shared" si="29"/>
        <v/>
      </c>
      <c r="J616" s="41"/>
    </row>
    <row r="617" spans="2:10" ht="39.950000000000003" customHeight="1" x14ac:dyDescent="0.25">
      <c r="B617" s="41"/>
      <c r="C617" s="42"/>
      <c r="D617" s="43" t="str">
        <f t="shared" si="27"/>
        <v/>
      </c>
      <c r="E617" s="44" t="str">
        <f>IF($C617="","",INDEX(Summary!$J$3:$J$7,MATCH($C617,TaskListLeads,FALSE),1))</f>
        <v/>
      </c>
      <c r="F617" s="50"/>
      <c r="G617" s="45" t="str">
        <f t="shared" si="28"/>
        <v/>
      </c>
      <c r="H617" s="50"/>
      <c r="I617" s="45" t="str">
        <f t="shared" si="29"/>
        <v/>
      </c>
      <c r="J617" s="41"/>
    </row>
    <row r="618" spans="2:10" ht="39.950000000000003" customHeight="1" x14ac:dyDescent="0.25">
      <c r="B618" s="41"/>
      <c r="C618" s="42"/>
      <c r="D618" s="43" t="str">
        <f t="shared" si="27"/>
        <v/>
      </c>
      <c r="E618" s="44" t="str">
        <f>IF($C618="","",INDEX(Summary!$J$3:$J$7,MATCH($C618,TaskListLeads,FALSE),1))</f>
        <v/>
      </c>
      <c r="F618" s="50"/>
      <c r="G618" s="45" t="str">
        <f t="shared" si="28"/>
        <v/>
      </c>
      <c r="H618" s="50"/>
      <c r="I618" s="45" t="str">
        <f t="shared" si="29"/>
        <v/>
      </c>
      <c r="J618" s="41"/>
    </row>
    <row r="619" spans="2:10" ht="39.950000000000003" customHeight="1" x14ac:dyDescent="0.25">
      <c r="B619" s="41"/>
      <c r="C619" s="42"/>
      <c r="D619" s="43" t="str">
        <f t="shared" si="27"/>
        <v/>
      </c>
      <c r="E619" s="44" t="str">
        <f>IF($C619="","",INDEX(Summary!$J$3:$J$7,MATCH($C619,TaskListLeads,FALSE),1))</f>
        <v/>
      </c>
      <c r="F619" s="50"/>
      <c r="G619" s="45" t="str">
        <f t="shared" si="28"/>
        <v/>
      </c>
      <c r="H619" s="50"/>
      <c r="I619" s="45" t="str">
        <f t="shared" si="29"/>
        <v/>
      </c>
      <c r="J619" s="41"/>
    </row>
    <row r="620" spans="2:10" ht="39.950000000000003" customHeight="1" x14ac:dyDescent="0.25">
      <c r="B620" s="41"/>
      <c r="C620" s="42"/>
      <c r="D620" s="43" t="str">
        <f t="shared" si="27"/>
        <v/>
      </c>
      <c r="E620" s="44" t="str">
        <f>IF($C620="","",INDEX(Summary!$J$3:$J$7,MATCH($C620,TaskListLeads,FALSE),1))</f>
        <v/>
      </c>
      <c r="F620" s="50"/>
      <c r="G620" s="45" t="str">
        <f t="shared" si="28"/>
        <v/>
      </c>
      <c r="H620" s="50"/>
      <c r="I620" s="45" t="str">
        <f t="shared" si="29"/>
        <v/>
      </c>
      <c r="J620" s="41"/>
    </row>
    <row r="621" spans="2:10" ht="39.950000000000003" customHeight="1" x14ac:dyDescent="0.25">
      <c r="B621" s="41"/>
      <c r="C621" s="42"/>
      <c r="D621" s="43" t="str">
        <f t="shared" si="27"/>
        <v/>
      </c>
      <c r="E621" s="44" t="str">
        <f>IF($C621="","",INDEX(Summary!$J$3:$J$7,MATCH($C621,TaskListLeads,FALSE),1))</f>
        <v/>
      </c>
      <c r="F621" s="50"/>
      <c r="G621" s="45" t="str">
        <f t="shared" si="28"/>
        <v/>
      </c>
      <c r="H621" s="50"/>
      <c r="I621" s="45" t="str">
        <f t="shared" si="29"/>
        <v/>
      </c>
      <c r="J621" s="41"/>
    </row>
    <row r="622" spans="2:10" ht="39.950000000000003" customHeight="1" x14ac:dyDescent="0.25">
      <c r="B622" s="41"/>
      <c r="C622" s="42"/>
      <c r="D622" s="43" t="str">
        <f t="shared" si="27"/>
        <v/>
      </c>
      <c r="E622" s="44" t="str">
        <f>IF($C622="","",INDEX(Summary!$J$3:$J$7,MATCH($C622,TaskListLeads,FALSE),1))</f>
        <v/>
      </c>
      <c r="F622" s="50"/>
      <c r="G622" s="45" t="str">
        <f t="shared" si="28"/>
        <v/>
      </c>
      <c r="H622" s="50"/>
      <c r="I622" s="45" t="str">
        <f t="shared" si="29"/>
        <v/>
      </c>
      <c r="J622" s="41"/>
    </row>
    <row r="623" spans="2:10" ht="39.950000000000003" customHeight="1" x14ac:dyDescent="0.25">
      <c r="B623" s="41"/>
      <c r="C623" s="42"/>
      <c r="D623" s="43" t="str">
        <f t="shared" si="27"/>
        <v/>
      </c>
      <c r="E623" s="44" t="str">
        <f>IF($C623="","",INDEX(Summary!$J$3:$J$7,MATCH($C623,TaskListLeads,FALSE),1))</f>
        <v/>
      </c>
      <c r="F623" s="50"/>
      <c r="G623" s="45" t="str">
        <f t="shared" si="28"/>
        <v/>
      </c>
      <c r="H623" s="50"/>
      <c r="I623" s="45" t="str">
        <f t="shared" si="29"/>
        <v/>
      </c>
      <c r="J623" s="41"/>
    </row>
    <row r="624" spans="2:10" ht="39.950000000000003" customHeight="1" x14ac:dyDescent="0.25">
      <c r="B624" s="41"/>
      <c r="C624" s="42"/>
      <c r="D624" s="43" t="str">
        <f t="shared" si="27"/>
        <v/>
      </c>
      <c r="E624" s="44" t="str">
        <f>IF($C624="","",INDEX(Summary!$J$3:$J$7,MATCH($C624,TaskListLeads,FALSE),1))</f>
        <v/>
      </c>
      <c r="F624" s="50"/>
      <c r="G624" s="45" t="str">
        <f t="shared" si="28"/>
        <v/>
      </c>
      <c r="H624" s="50"/>
      <c r="I624" s="45" t="str">
        <f t="shared" si="29"/>
        <v/>
      </c>
      <c r="J624" s="41"/>
    </row>
    <row r="625" spans="2:10" ht="39.950000000000003" customHeight="1" x14ac:dyDescent="0.25">
      <c r="B625" s="41"/>
      <c r="C625" s="42"/>
      <c r="D625" s="43" t="str">
        <f t="shared" si="27"/>
        <v/>
      </c>
      <c r="E625" s="44" t="str">
        <f>IF($C625="","",INDEX(Summary!$J$3:$J$7,MATCH($C625,TaskListLeads,FALSE),1))</f>
        <v/>
      </c>
      <c r="F625" s="50"/>
      <c r="G625" s="45" t="str">
        <f t="shared" si="28"/>
        <v/>
      </c>
      <c r="H625" s="50"/>
      <c r="I625" s="45" t="str">
        <f t="shared" si="29"/>
        <v/>
      </c>
      <c r="J625" s="41"/>
    </row>
    <row r="626" spans="2:10" ht="39.950000000000003" customHeight="1" x14ac:dyDescent="0.25">
      <c r="B626" s="41"/>
      <c r="C626" s="42"/>
      <c r="D626" s="43" t="str">
        <f t="shared" si="27"/>
        <v/>
      </c>
      <c r="E626" s="44" t="str">
        <f>IF($C626="","",INDEX(Summary!$J$3:$J$7,MATCH($C626,TaskListLeads,FALSE),1))</f>
        <v/>
      </c>
      <c r="F626" s="50"/>
      <c r="G626" s="45" t="str">
        <f t="shared" si="28"/>
        <v/>
      </c>
      <c r="H626" s="50"/>
      <c r="I626" s="45" t="str">
        <f t="shared" si="29"/>
        <v/>
      </c>
      <c r="J626" s="41"/>
    </row>
    <row r="627" spans="2:10" ht="39.950000000000003" customHeight="1" x14ac:dyDescent="0.25">
      <c r="B627" s="41"/>
      <c r="C627" s="42"/>
      <c r="D627" s="43" t="str">
        <f t="shared" si="27"/>
        <v/>
      </c>
      <c r="E627" s="44" t="str">
        <f>IF($C627="","",INDEX(Summary!$J$3:$J$7,MATCH($C627,TaskListLeads,FALSE),1))</f>
        <v/>
      </c>
      <c r="F627" s="50"/>
      <c r="G627" s="45" t="str">
        <f t="shared" si="28"/>
        <v/>
      </c>
      <c r="H627" s="50"/>
      <c r="I627" s="45" t="str">
        <f t="shared" si="29"/>
        <v/>
      </c>
      <c r="J627" s="41"/>
    </row>
    <row r="628" spans="2:10" ht="39.950000000000003" customHeight="1" x14ac:dyDescent="0.25">
      <c r="B628" s="41"/>
      <c r="C628" s="42"/>
      <c r="D628" s="43" t="str">
        <f t="shared" si="27"/>
        <v/>
      </c>
      <c r="E628" s="44" t="str">
        <f>IF($C628="","",INDEX(Summary!$J$3:$J$7,MATCH($C628,TaskListLeads,FALSE),1))</f>
        <v/>
      </c>
      <c r="F628" s="50"/>
      <c r="G628" s="45" t="str">
        <f t="shared" si="28"/>
        <v/>
      </c>
      <c r="H628" s="50"/>
      <c r="I628" s="45" t="str">
        <f t="shared" si="29"/>
        <v/>
      </c>
      <c r="J628" s="41"/>
    </row>
    <row r="629" spans="2:10" ht="39.950000000000003" customHeight="1" x14ac:dyDescent="0.25">
      <c r="B629" s="41"/>
      <c r="C629" s="42"/>
      <c r="D629" s="43" t="str">
        <f t="shared" si="27"/>
        <v/>
      </c>
      <c r="E629" s="44" t="str">
        <f>IF($C629="","",INDEX(Summary!$J$3:$J$7,MATCH($C629,TaskListLeads,FALSE),1))</f>
        <v/>
      </c>
      <c r="F629" s="50"/>
      <c r="G629" s="45" t="str">
        <f t="shared" si="28"/>
        <v/>
      </c>
      <c r="H629" s="50"/>
      <c r="I629" s="45" t="str">
        <f t="shared" si="29"/>
        <v/>
      </c>
      <c r="J629" s="41"/>
    </row>
    <row r="630" spans="2:10" ht="39.950000000000003" customHeight="1" x14ac:dyDescent="0.25">
      <c r="B630" s="41"/>
      <c r="C630" s="42"/>
      <c r="D630" s="43" t="str">
        <f t="shared" si="27"/>
        <v/>
      </c>
      <c r="E630" s="44" t="str">
        <f>IF($C630="","",INDEX(Summary!$J$3:$J$7,MATCH($C630,TaskListLeads,FALSE),1))</f>
        <v/>
      </c>
      <c r="F630" s="50"/>
      <c r="G630" s="45" t="str">
        <f t="shared" si="28"/>
        <v/>
      </c>
      <c r="H630" s="50"/>
      <c r="I630" s="45" t="str">
        <f t="shared" si="29"/>
        <v/>
      </c>
      <c r="J630" s="41"/>
    </row>
    <row r="631" spans="2:10" ht="39.950000000000003" customHeight="1" x14ac:dyDescent="0.25">
      <c r="B631" s="41"/>
      <c r="C631" s="42"/>
      <c r="D631" s="43" t="str">
        <f t="shared" si="27"/>
        <v/>
      </c>
      <c r="E631" s="44" t="str">
        <f>IF($C631="","",INDEX(Summary!$J$3:$J$7,MATCH($C631,TaskListLeads,FALSE),1))</f>
        <v/>
      </c>
      <c r="F631" s="50"/>
      <c r="G631" s="45" t="str">
        <f t="shared" si="28"/>
        <v/>
      </c>
      <c r="H631" s="50"/>
      <c r="I631" s="45" t="str">
        <f t="shared" si="29"/>
        <v/>
      </c>
      <c r="J631" s="41"/>
    </row>
    <row r="632" spans="2:10" ht="39.950000000000003" customHeight="1" x14ac:dyDescent="0.25">
      <c r="B632" s="41"/>
      <c r="C632" s="42"/>
      <c r="D632" s="43" t="str">
        <f t="shared" si="27"/>
        <v/>
      </c>
      <c r="E632" s="44" t="str">
        <f>IF($C632="","",INDEX(Summary!$J$3:$J$7,MATCH($C632,TaskListLeads,FALSE),1))</f>
        <v/>
      </c>
      <c r="F632" s="50"/>
      <c r="G632" s="45" t="str">
        <f t="shared" si="28"/>
        <v/>
      </c>
      <c r="H632" s="50"/>
      <c r="I632" s="45" t="str">
        <f t="shared" si="29"/>
        <v/>
      </c>
      <c r="J632" s="41"/>
    </row>
    <row r="633" spans="2:10" ht="39.950000000000003" customHeight="1" x14ac:dyDescent="0.25">
      <c r="B633" s="41"/>
      <c r="C633" s="42"/>
      <c r="D633" s="43" t="str">
        <f t="shared" si="27"/>
        <v/>
      </c>
      <c r="E633" s="44" t="str">
        <f>IF($C633="","",INDEX(Summary!$J$3:$J$7,MATCH($C633,TaskListLeads,FALSE),1))</f>
        <v/>
      </c>
      <c r="F633" s="50"/>
      <c r="G633" s="45" t="str">
        <f t="shared" si="28"/>
        <v/>
      </c>
      <c r="H633" s="50"/>
      <c r="I633" s="45" t="str">
        <f t="shared" si="29"/>
        <v/>
      </c>
      <c r="J633" s="41"/>
    </row>
    <row r="634" spans="2:10" ht="39.950000000000003" customHeight="1" x14ac:dyDescent="0.25">
      <c r="B634" s="41"/>
      <c r="C634" s="42"/>
      <c r="D634" s="43" t="str">
        <f t="shared" si="27"/>
        <v/>
      </c>
      <c r="E634" s="44" t="str">
        <f>IF($C634="","",INDEX(Summary!$J$3:$J$7,MATCH($C634,TaskListLeads,FALSE),1))</f>
        <v/>
      </c>
      <c r="F634" s="50"/>
      <c r="G634" s="45" t="str">
        <f t="shared" si="28"/>
        <v/>
      </c>
      <c r="H634" s="50"/>
      <c r="I634" s="45" t="str">
        <f t="shared" si="29"/>
        <v/>
      </c>
      <c r="J634" s="41"/>
    </row>
    <row r="635" spans="2:10" ht="39.950000000000003" customHeight="1" x14ac:dyDescent="0.25">
      <c r="B635" s="41"/>
      <c r="C635" s="42"/>
      <c r="D635" s="43" t="str">
        <f t="shared" si="27"/>
        <v/>
      </c>
      <c r="E635" s="44" t="str">
        <f>IF($C635="","",INDEX(Summary!$J$3:$J$7,MATCH($C635,TaskListLeads,FALSE),1))</f>
        <v/>
      </c>
      <c r="F635" s="50"/>
      <c r="G635" s="45" t="str">
        <f t="shared" si="28"/>
        <v/>
      </c>
      <c r="H635" s="50"/>
      <c r="I635" s="45" t="str">
        <f t="shared" si="29"/>
        <v/>
      </c>
      <c r="J635" s="41"/>
    </row>
    <row r="636" spans="2:10" ht="39.950000000000003" customHeight="1" x14ac:dyDescent="0.25">
      <c r="B636" s="41"/>
      <c r="C636" s="42"/>
      <c r="D636" s="43" t="str">
        <f t="shared" si="27"/>
        <v/>
      </c>
      <c r="E636" s="44" t="str">
        <f>IF($C636="","",INDEX(Summary!$J$3:$J$7,MATCH($C636,TaskListLeads,FALSE),1))</f>
        <v/>
      </c>
      <c r="F636" s="50"/>
      <c r="G636" s="45" t="str">
        <f t="shared" si="28"/>
        <v/>
      </c>
      <c r="H636" s="50"/>
      <c r="I636" s="45" t="str">
        <f t="shared" si="29"/>
        <v/>
      </c>
      <c r="J636" s="41"/>
    </row>
    <row r="637" spans="2:10" ht="39.950000000000003" customHeight="1" x14ac:dyDescent="0.25">
      <c r="B637" s="41"/>
      <c r="C637" s="42"/>
      <c r="D637" s="43" t="str">
        <f t="shared" si="27"/>
        <v/>
      </c>
      <c r="E637" s="44" t="str">
        <f>IF($C637="","",INDEX(Summary!$J$3:$J$7,MATCH($C637,TaskListLeads,FALSE),1))</f>
        <v/>
      </c>
      <c r="F637" s="50"/>
      <c r="G637" s="45" t="str">
        <f t="shared" si="28"/>
        <v/>
      </c>
      <c r="H637" s="50"/>
      <c r="I637" s="45" t="str">
        <f t="shared" si="29"/>
        <v/>
      </c>
      <c r="J637" s="41"/>
    </row>
    <row r="638" spans="2:10" ht="39.950000000000003" customHeight="1" x14ac:dyDescent="0.25">
      <c r="B638" s="41"/>
      <c r="C638" s="42"/>
      <c r="D638" s="43" t="str">
        <f t="shared" si="27"/>
        <v/>
      </c>
      <c r="E638" s="44" t="str">
        <f>IF($C638="","",INDEX(Summary!$J$3:$J$7,MATCH($C638,TaskListLeads,FALSE),1))</f>
        <v/>
      </c>
      <c r="F638" s="50"/>
      <c r="G638" s="45" t="str">
        <f t="shared" si="28"/>
        <v/>
      </c>
      <c r="H638" s="50"/>
      <c r="I638" s="45" t="str">
        <f t="shared" si="29"/>
        <v/>
      </c>
      <c r="J638" s="41"/>
    </row>
    <row r="639" spans="2:10" ht="39.950000000000003" customHeight="1" x14ac:dyDescent="0.25">
      <c r="B639" s="41"/>
      <c r="C639" s="42"/>
      <c r="D639" s="43" t="str">
        <f t="shared" si="27"/>
        <v/>
      </c>
      <c r="E639" s="44" t="str">
        <f>IF($C639="","",INDEX(Summary!$J$3:$J$7,MATCH($C639,TaskListLeads,FALSE),1))</f>
        <v/>
      </c>
      <c r="F639" s="50"/>
      <c r="G639" s="45" t="str">
        <f t="shared" si="28"/>
        <v/>
      </c>
      <c r="H639" s="50"/>
      <c r="I639" s="45" t="str">
        <f t="shared" si="29"/>
        <v/>
      </c>
      <c r="J639" s="41"/>
    </row>
    <row r="640" spans="2:10" ht="39.950000000000003" customHeight="1" x14ac:dyDescent="0.25">
      <c r="B640" s="41"/>
      <c r="C640" s="42"/>
      <c r="D640" s="43" t="str">
        <f t="shared" si="27"/>
        <v/>
      </c>
      <c r="E640" s="44" t="str">
        <f>IF($C640="","",INDEX(Summary!$J$3:$J$7,MATCH($C640,TaskListLeads,FALSE),1))</f>
        <v/>
      </c>
      <c r="F640" s="50"/>
      <c r="G640" s="45" t="str">
        <f t="shared" si="28"/>
        <v/>
      </c>
      <c r="H640" s="50"/>
      <c r="I640" s="45" t="str">
        <f t="shared" si="29"/>
        <v/>
      </c>
      <c r="J640" s="41"/>
    </row>
    <row r="641" spans="2:10" ht="39.950000000000003" customHeight="1" x14ac:dyDescent="0.25">
      <c r="B641" s="41"/>
      <c r="C641" s="42"/>
      <c r="D641" s="43" t="str">
        <f t="shared" si="27"/>
        <v/>
      </c>
      <c r="E641" s="44" t="str">
        <f>IF($C641="","",INDEX(Summary!$J$3:$J$7,MATCH($C641,TaskListLeads,FALSE),1))</f>
        <v/>
      </c>
      <c r="F641" s="50"/>
      <c r="G641" s="45" t="str">
        <f t="shared" si="28"/>
        <v/>
      </c>
      <c r="H641" s="50"/>
      <c r="I641" s="45" t="str">
        <f t="shared" si="29"/>
        <v/>
      </c>
      <c r="J641" s="41"/>
    </row>
    <row r="642" spans="2:10" ht="39.950000000000003" customHeight="1" x14ac:dyDescent="0.25">
      <c r="B642" s="41"/>
      <c r="C642" s="42"/>
      <c r="D642" s="43" t="str">
        <f t="shared" si="27"/>
        <v/>
      </c>
      <c r="E642" s="44" t="str">
        <f>IF($C642="","",INDEX(Summary!$J$3:$J$7,MATCH($C642,TaskListLeads,FALSE),1))</f>
        <v/>
      </c>
      <c r="F642" s="50"/>
      <c r="G642" s="45" t="str">
        <f t="shared" si="28"/>
        <v/>
      </c>
      <c r="H642" s="50"/>
      <c r="I642" s="45" t="str">
        <f t="shared" si="29"/>
        <v/>
      </c>
      <c r="J642" s="41"/>
    </row>
    <row r="643" spans="2:10" ht="39.950000000000003" customHeight="1" x14ac:dyDescent="0.25">
      <c r="B643" s="41"/>
      <c r="C643" s="42"/>
      <c r="D643" s="43" t="str">
        <f t="shared" si="27"/>
        <v/>
      </c>
      <c r="E643" s="44" t="str">
        <f>IF($C643="","",INDEX(Summary!$J$3:$J$7,MATCH($C643,TaskListLeads,FALSE),1))</f>
        <v/>
      </c>
      <c r="F643" s="50"/>
      <c r="G643" s="45" t="str">
        <f t="shared" si="28"/>
        <v/>
      </c>
      <c r="H643" s="50"/>
      <c r="I643" s="45" t="str">
        <f t="shared" si="29"/>
        <v/>
      </c>
      <c r="J643" s="41"/>
    </row>
    <row r="644" spans="2:10" ht="39.950000000000003" customHeight="1" x14ac:dyDescent="0.25">
      <c r="B644" s="41"/>
      <c r="C644" s="42"/>
      <c r="D644" s="43" t="str">
        <f t="shared" si="27"/>
        <v/>
      </c>
      <c r="E644" s="44" t="str">
        <f>IF($C644="","",INDEX(Summary!$J$3:$J$7,MATCH($C644,TaskListLeads,FALSE),1))</f>
        <v/>
      </c>
      <c r="F644" s="50"/>
      <c r="G644" s="45" t="str">
        <f t="shared" si="28"/>
        <v/>
      </c>
      <c r="H644" s="50"/>
      <c r="I644" s="45" t="str">
        <f t="shared" si="29"/>
        <v/>
      </c>
      <c r="J644" s="41"/>
    </row>
    <row r="645" spans="2:10" ht="39.950000000000003" customHeight="1" x14ac:dyDescent="0.25">
      <c r="B645" s="41"/>
      <c r="C645" s="42"/>
      <c r="D645" s="43" t="str">
        <f t="shared" si="27"/>
        <v/>
      </c>
      <c r="E645" s="44" t="str">
        <f>IF($C645="","",INDEX(Summary!$J$3:$J$7,MATCH($C645,TaskListLeads,FALSE),1))</f>
        <v/>
      </c>
      <c r="F645" s="50"/>
      <c r="G645" s="45" t="str">
        <f t="shared" si="28"/>
        <v/>
      </c>
      <c r="H645" s="50"/>
      <c r="I645" s="45" t="str">
        <f t="shared" si="29"/>
        <v/>
      </c>
      <c r="J645" s="41"/>
    </row>
    <row r="646" spans="2:10" ht="39.950000000000003" customHeight="1" x14ac:dyDescent="0.25">
      <c r="B646" s="41"/>
      <c r="C646" s="42"/>
      <c r="D646" s="43" t="str">
        <f t="shared" si="27"/>
        <v/>
      </c>
      <c r="E646" s="44" t="str">
        <f>IF($C646="","",INDEX(Summary!$J$3:$J$7,MATCH($C646,TaskListLeads,FALSE),1))</f>
        <v/>
      </c>
      <c r="F646" s="50"/>
      <c r="G646" s="45" t="str">
        <f t="shared" si="28"/>
        <v/>
      </c>
      <c r="H646" s="50"/>
      <c r="I646" s="45" t="str">
        <f t="shared" si="29"/>
        <v/>
      </c>
      <c r="J646" s="41"/>
    </row>
    <row r="647" spans="2:10" ht="39.950000000000003" customHeight="1" x14ac:dyDescent="0.25">
      <c r="B647" s="41"/>
      <c r="C647" s="42"/>
      <c r="D647" s="43" t="str">
        <f t="shared" si="27"/>
        <v/>
      </c>
      <c r="E647" s="44" t="str">
        <f>IF($C647="","",INDEX(Summary!$J$3:$J$7,MATCH($C647,TaskListLeads,FALSE),1))</f>
        <v/>
      </c>
      <c r="F647" s="50"/>
      <c r="G647" s="45" t="str">
        <f t="shared" si="28"/>
        <v/>
      </c>
      <c r="H647" s="50"/>
      <c r="I647" s="45" t="str">
        <f t="shared" si="29"/>
        <v/>
      </c>
      <c r="J647" s="41"/>
    </row>
    <row r="648" spans="2:10" ht="39.950000000000003" customHeight="1" x14ac:dyDescent="0.25">
      <c r="B648" s="41"/>
      <c r="C648" s="42"/>
      <c r="D648" s="43" t="str">
        <f t="shared" si="27"/>
        <v/>
      </c>
      <c r="E648" s="44" t="str">
        <f>IF($C648="","",INDEX(Summary!$J$3:$J$7,MATCH($C648,TaskListLeads,FALSE),1))</f>
        <v/>
      </c>
      <c r="F648" s="50"/>
      <c r="G648" s="45" t="str">
        <f t="shared" si="28"/>
        <v/>
      </c>
      <c r="H648" s="50"/>
      <c r="I648" s="45" t="str">
        <f t="shared" si="29"/>
        <v/>
      </c>
      <c r="J648" s="41"/>
    </row>
    <row r="649" spans="2:10" ht="39.950000000000003" customHeight="1" x14ac:dyDescent="0.25">
      <c r="B649" s="41"/>
      <c r="C649" s="42"/>
      <c r="D649" s="43" t="str">
        <f t="shared" si="27"/>
        <v/>
      </c>
      <c r="E649" s="44" t="str">
        <f>IF($C649="","",INDEX(Summary!$J$3:$J$7,MATCH($C649,TaskListLeads,FALSE),1))</f>
        <v/>
      </c>
      <c r="F649" s="50"/>
      <c r="G649" s="45" t="str">
        <f t="shared" si="28"/>
        <v/>
      </c>
      <c r="H649" s="50"/>
      <c r="I649" s="45" t="str">
        <f t="shared" si="29"/>
        <v/>
      </c>
      <c r="J649" s="41"/>
    </row>
    <row r="650" spans="2:10" ht="39.950000000000003" customHeight="1" x14ac:dyDescent="0.25">
      <c r="B650" s="41"/>
      <c r="C650" s="42"/>
      <c r="D650" s="43" t="str">
        <f t="shared" si="27"/>
        <v/>
      </c>
      <c r="E650" s="44" t="str">
        <f>IF($C650="","",INDEX(Summary!$J$3:$J$7,MATCH($C650,TaskListLeads,FALSE),1))</f>
        <v/>
      </c>
      <c r="F650" s="50"/>
      <c r="G650" s="45" t="str">
        <f t="shared" si="28"/>
        <v/>
      </c>
      <c r="H650" s="50"/>
      <c r="I650" s="45" t="str">
        <f t="shared" si="29"/>
        <v/>
      </c>
      <c r="J650" s="41"/>
    </row>
    <row r="651" spans="2:10" ht="39.950000000000003" customHeight="1" x14ac:dyDescent="0.25">
      <c r="B651" s="41"/>
      <c r="C651" s="42"/>
      <c r="D651" s="43" t="str">
        <f t="shared" ref="D651:D714" si="30">IF($C651="","",INDEX(TaskListCostCentres,MATCH($C651,TaskListLeads,FALSE),1))</f>
        <v/>
      </c>
      <c r="E651" s="44" t="str">
        <f>IF($C651="","",INDEX(Summary!$J$3:$J$7,MATCH($C651,TaskListLeads,FALSE),1))</f>
        <v/>
      </c>
      <c r="F651" s="50"/>
      <c r="G651" s="45" t="str">
        <f t="shared" ref="G651:G714" si="31">IF($F651="","",INDEX(ControlWeeksOf,MATCH($F651,ControlWeeksOf,TRUE),1))</f>
        <v/>
      </c>
      <c r="H651" s="50"/>
      <c r="I651" s="45" t="str">
        <f t="shared" ref="I651:I714" si="32">IF($H651="","",INDEX(ControlWeeksOf,MATCH($H651,ControlWeeksOf,TRUE),1))</f>
        <v/>
      </c>
      <c r="J651" s="41"/>
    </row>
    <row r="652" spans="2:10" ht="39.950000000000003" customHeight="1" x14ac:dyDescent="0.25">
      <c r="B652" s="41"/>
      <c r="C652" s="42"/>
      <c r="D652" s="43" t="str">
        <f t="shared" si="30"/>
        <v/>
      </c>
      <c r="E652" s="44" t="str">
        <f>IF($C652="","",INDEX(Summary!$J$3:$J$7,MATCH($C652,TaskListLeads,FALSE),1))</f>
        <v/>
      </c>
      <c r="F652" s="50"/>
      <c r="G652" s="45" t="str">
        <f t="shared" si="31"/>
        <v/>
      </c>
      <c r="H652" s="50"/>
      <c r="I652" s="45" t="str">
        <f t="shared" si="32"/>
        <v/>
      </c>
      <c r="J652" s="41"/>
    </row>
    <row r="653" spans="2:10" ht="39.950000000000003" customHeight="1" x14ac:dyDescent="0.25">
      <c r="B653" s="41"/>
      <c r="C653" s="42"/>
      <c r="D653" s="43" t="str">
        <f t="shared" si="30"/>
        <v/>
      </c>
      <c r="E653" s="44" t="str">
        <f>IF($C653="","",INDEX(Summary!$J$3:$J$7,MATCH($C653,TaskListLeads,FALSE),1))</f>
        <v/>
      </c>
      <c r="F653" s="50"/>
      <c r="G653" s="45" t="str">
        <f t="shared" si="31"/>
        <v/>
      </c>
      <c r="H653" s="50"/>
      <c r="I653" s="45" t="str">
        <f t="shared" si="32"/>
        <v/>
      </c>
      <c r="J653" s="41"/>
    </row>
    <row r="654" spans="2:10" ht="39.950000000000003" customHeight="1" x14ac:dyDescent="0.25">
      <c r="B654" s="41"/>
      <c r="C654" s="42"/>
      <c r="D654" s="43" t="str">
        <f t="shared" si="30"/>
        <v/>
      </c>
      <c r="E654" s="44" t="str">
        <f>IF($C654="","",INDEX(Summary!$J$3:$J$7,MATCH($C654,TaskListLeads,FALSE),1))</f>
        <v/>
      </c>
      <c r="F654" s="50"/>
      <c r="G654" s="45" t="str">
        <f t="shared" si="31"/>
        <v/>
      </c>
      <c r="H654" s="50"/>
      <c r="I654" s="45" t="str">
        <f t="shared" si="32"/>
        <v/>
      </c>
      <c r="J654" s="41"/>
    </row>
    <row r="655" spans="2:10" ht="39.950000000000003" customHeight="1" x14ac:dyDescent="0.25">
      <c r="B655" s="41"/>
      <c r="C655" s="42"/>
      <c r="D655" s="43" t="str">
        <f t="shared" si="30"/>
        <v/>
      </c>
      <c r="E655" s="44" t="str">
        <f>IF($C655="","",INDEX(Summary!$J$3:$J$7,MATCH($C655,TaskListLeads,FALSE),1))</f>
        <v/>
      </c>
      <c r="F655" s="50"/>
      <c r="G655" s="45" t="str">
        <f t="shared" si="31"/>
        <v/>
      </c>
      <c r="H655" s="50"/>
      <c r="I655" s="45" t="str">
        <f t="shared" si="32"/>
        <v/>
      </c>
      <c r="J655" s="41"/>
    </row>
    <row r="656" spans="2:10" ht="39.950000000000003" customHeight="1" x14ac:dyDescent="0.25">
      <c r="B656" s="41"/>
      <c r="C656" s="42"/>
      <c r="D656" s="43" t="str">
        <f t="shared" si="30"/>
        <v/>
      </c>
      <c r="E656" s="44" t="str">
        <f>IF($C656="","",INDEX(Summary!$J$3:$J$7,MATCH($C656,TaskListLeads,FALSE),1))</f>
        <v/>
      </c>
      <c r="F656" s="50"/>
      <c r="G656" s="45" t="str">
        <f t="shared" si="31"/>
        <v/>
      </c>
      <c r="H656" s="50"/>
      <c r="I656" s="45" t="str">
        <f t="shared" si="32"/>
        <v/>
      </c>
      <c r="J656" s="41"/>
    </row>
    <row r="657" spans="2:10" ht="39.950000000000003" customHeight="1" x14ac:dyDescent="0.25">
      <c r="B657" s="41"/>
      <c r="C657" s="42"/>
      <c r="D657" s="43" t="str">
        <f t="shared" si="30"/>
        <v/>
      </c>
      <c r="E657" s="44" t="str">
        <f>IF($C657="","",INDEX(Summary!$J$3:$J$7,MATCH($C657,TaskListLeads,FALSE),1))</f>
        <v/>
      </c>
      <c r="F657" s="50"/>
      <c r="G657" s="45" t="str">
        <f t="shared" si="31"/>
        <v/>
      </c>
      <c r="H657" s="50"/>
      <c r="I657" s="45" t="str">
        <f t="shared" si="32"/>
        <v/>
      </c>
      <c r="J657" s="41"/>
    </row>
    <row r="658" spans="2:10" ht="39.950000000000003" customHeight="1" x14ac:dyDescent="0.25">
      <c r="B658" s="41"/>
      <c r="C658" s="42"/>
      <c r="D658" s="43" t="str">
        <f t="shared" si="30"/>
        <v/>
      </c>
      <c r="E658" s="44" t="str">
        <f>IF($C658="","",INDEX(Summary!$J$3:$J$7,MATCH($C658,TaskListLeads,FALSE),1))</f>
        <v/>
      </c>
      <c r="F658" s="50"/>
      <c r="G658" s="45" t="str">
        <f t="shared" si="31"/>
        <v/>
      </c>
      <c r="H658" s="50"/>
      <c r="I658" s="45" t="str">
        <f t="shared" si="32"/>
        <v/>
      </c>
      <c r="J658" s="41"/>
    </row>
    <row r="659" spans="2:10" ht="39.950000000000003" customHeight="1" x14ac:dyDescent="0.25">
      <c r="B659" s="41"/>
      <c r="C659" s="42"/>
      <c r="D659" s="43" t="str">
        <f t="shared" si="30"/>
        <v/>
      </c>
      <c r="E659" s="44" t="str">
        <f>IF($C659="","",INDEX(Summary!$J$3:$J$7,MATCH($C659,TaskListLeads,FALSE),1))</f>
        <v/>
      </c>
      <c r="F659" s="50"/>
      <c r="G659" s="45" t="str">
        <f t="shared" si="31"/>
        <v/>
      </c>
      <c r="H659" s="50"/>
      <c r="I659" s="45" t="str">
        <f t="shared" si="32"/>
        <v/>
      </c>
      <c r="J659" s="41"/>
    </row>
    <row r="660" spans="2:10" ht="39.950000000000003" customHeight="1" x14ac:dyDescent="0.25">
      <c r="B660" s="41"/>
      <c r="C660" s="42"/>
      <c r="D660" s="43" t="str">
        <f t="shared" si="30"/>
        <v/>
      </c>
      <c r="E660" s="44" t="str">
        <f>IF($C660="","",INDEX(Summary!$J$3:$J$7,MATCH($C660,TaskListLeads,FALSE),1))</f>
        <v/>
      </c>
      <c r="F660" s="50"/>
      <c r="G660" s="45" t="str">
        <f t="shared" si="31"/>
        <v/>
      </c>
      <c r="H660" s="50"/>
      <c r="I660" s="45" t="str">
        <f t="shared" si="32"/>
        <v/>
      </c>
      <c r="J660" s="41"/>
    </row>
    <row r="661" spans="2:10" ht="39.950000000000003" customHeight="1" x14ac:dyDescent="0.25">
      <c r="B661" s="41"/>
      <c r="C661" s="42"/>
      <c r="D661" s="43" t="str">
        <f t="shared" si="30"/>
        <v/>
      </c>
      <c r="E661" s="44" t="str">
        <f>IF($C661="","",INDEX(Summary!$J$3:$J$7,MATCH($C661,TaskListLeads,FALSE),1))</f>
        <v/>
      </c>
      <c r="F661" s="50"/>
      <c r="G661" s="45" t="str">
        <f t="shared" si="31"/>
        <v/>
      </c>
      <c r="H661" s="50"/>
      <c r="I661" s="45" t="str">
        <f t="shared" si="32"/>
        <v/>
      </c>
      <c r="J661" s="41"/>
    </row>
    <row r="662" spans="2:10" ht="39.950000000000003" customHeight="1" x14ac:dyDescent="0.25">
      <c r="B662" s="41"/>
      <c r="C662" s="42"/>
      <c r="D662" s="43" t="str">
        <f t="shared" si="30"/>
        <v/>
      </c>
      <c r="E662" s="44" t="str">
        <f>IF($C662="","",INDEX(Summary!$J$3:$J$7,MATCH($C662,TaskListLeads,FALSE),1))</f>
        <v/>
      </c>
      <c r="F662" s="50"/>
      <c r="G662" s="45" t="str">
        <f t="shared" si="31"/>
        <v/>
      </c>
      <c r="H662" s="50"/>
      <c r="I662" s="45" t="str">
        <f t="shared" si="32"/>
        <v/>
      </c>
      <c r="J662" s="41"/>
    </row>
    <row r="663" spans="2:10" ht="39.950000000000003" customHeight="1" x14ac:dyDescent="0.25">
      <c r="B663" s="41"/>
      <c r="C663" s="42"/>
      <c r="D663" s="43" t="str">
        <f t="shared" si="30"/>
        <v/>
      </c>
      <c r="E663" s="44" t="str">
        <f>IF($C663="","",INDEX(Summary!$J$3:$J$7,MATCH($C663,TaskListLeads,FALSE),1))</f>
        <v/>
      </c>
      <c r="F663" s="50"/>
      <c r="G663" s="45" t="str">
        <f t="shared" si="31"/>
        <v/>
      </c>
      <c r="H663" s="50"/>
      <c r="I663" s="45" t="str">
        <f t="shared" si="32"/>
        <v/>
      </c>
      <c r="J663" s="41"/>
    </row>
    <row r="664" spans="2:10" ht="39.950000000000003" customHeight="1" x14ac:dyDescent="0.25">
      <c r="B664" s="41"/>
      <c r="C664" s="42"/>
      <c r="D664" s="43" t="str">
        <f t="shared" si="30"/>
        <v/>
      </c>
      <c r="E664" s="44" t="str">
        <f>IF($C664="","",INDEX(Summary!$J$3:$J$7,MATCH($C664,TaskListLeads,FALSE),1))</f>
        <v/>
      </c>
      <c r="F664" s="50"/>
      <c r="G664" s="45" t="str">
        <f t="shared" si="31"/>
        <v/>
      </c>
      <c r="H664" s="50"/>
      <c r="I664" s="45" t="str">
        <f t="shared" si="32"/>
        <v/>
      </c>
      <c r="J664" s="41"/>
    </row>
    <row r="665" spans="2:10" ht="39.950000000000003" customHeight="1" x14ac:dyDescent="0.25">
      <c r="B665" s="41"/>
      <c r="C665" s="42"/>
      <c r="D665" s="43" t="str">
        <f t="shared" si="30"/>
        <v/>
      </c>
      <c r="E665" s="44" t="str">
        <f>IF($C665="","",INDEX(Summary!$J$3:$J$7,MATCH($C665,TaskListLeads,FALSE),1))</f>
        <v/>
      </c>
      <c r="F665" s="50"/>
      <c r="G665" s="45" t="str">
        <f t="shared" si="31"/>
        <v/>
      </c>
      <c r="H665" s="50"/>
      <c r="I665" s="45" t="str">
        <f t="shared" si="32"/>
        <v/>
      </c>
      <c r="J665" s="41"/>
    </row>
    <row r="666" spans="2:10" ht="39.950000000000003" customHeight="1" x14ac:dyDescent="0.25">
      <c r="B666" s="41"/>
      <c r="C666" s="42"/>
      <c r="D666" s="43" t="str">
        <f t="shared" si="30"/>
        <v/>
      </c>
      <c r="E666" s="44" t="str">
        <f>IF($C666="","",INDEX(Summary!$J$3:$J$7,MATCH($C666,TaskListLeads,FALSE),1))</f>
        <v/>
      </c>
      <c r="F666" s="50"/>
      <c r="G666" s="45" t="str">
        <f t="shared" si="31"/>
        <v/>
      </c>
      <c r="H666" s="50"/>
      <c r="I666" s="45" t="str">
        <f t="shared" si="32"/>
        <v/>
      </c>
      <c r="J666" s="41"/>
    </row>
    <row r="667" spans="2:10" ht="39.950000000000003" customHeight="1" x14ac:dyDescent="0.25">
      <c r="B667" s="41"/>
      <c r="C667" s="42"/>
      <c r="D667" s="43" t="str">
        <f t="shared" si="30"/>
        <v/>
      </c>
      <c r="E667" s="44" t="str">
        <f>IF($C667="","",INDEX(Summary!$J$3:$J$7,MATCH($C667,TaskListLeads,FALSE),1))</f>
        <v/>
      </c>
      <c r="F667" s="50"/>
      <c r="G667" s="45" t="str">
        <f t="shared" si="31"/>
        <v/>
      </c>
      <c r="H667" s="50"/>
      <c r="I667" s="45" t="str">
        <f t="shared" si="32"/>
        <v/>
      </c>
      <c r="J667" s="41"/>
    </row>
    <row r="668" spans="2:10" ht="39.950000000000003" customHeight="1" x14ac:dyDescent="0.25">
      <c r="B668" s="41"/>
      <c r="C668" s="42"/>
      <c r="D668" s="43" t="str">
        <f t="shared" si="30"/>
        <v/>
      </c>
      <c r="E668" s="44" t="str">
        <f>IF($C668="","",INDEX(Summary!$J$3:$J$7,MATCH($C668,TaskListLeads,FALSE),1))</f>
        <v/>
      </c>
      <c r="F668" s="50"/>
      <c r="G668" s="45" t="str">
        <f t="shared" si="31"/>
        <v/>
      </c>
      <c r="H668" s="50"/>
      <c r="I668" s="45" t="str">
        <f t="shared" si="32"/>
        <v/>
      </c>
      <c r="J668" s="41"/>
    </row>
    <row r="669" spans="2:10" ht="39.950000000000003" customHeight="1" x14ac:dyDescent="0.25">
      <c r="B669" s="41"/>
      <c r="C669" s="42"/>
      <c r="D669" s="43" t="str">
        <f t="shared" si="30"/>
        <v/>
      </c>
      <c r="E669" s="44" t="str">
        <f>IF($C669="","",INDEX(Summary!$J$3:$J$7,MATCH($C669,TaskListLeads,FALSE),1))</f>
        <v/>
      </c>
      <c r="F669" s="50"/>
      <c r="G669" s="45" t="str">
        <f t="shared" si="31"/>
        <v/>
      </c>
      <c r="H669" s="50"/>
      <c r="I669" s="45" t="str">
        <f t="shared" si="32"/>
        <v/>
      </c>
      <c r="J669" s="41"/>
    </row>
    <row r="670" spans="2:10" ht="39.950000000000003" customHeight="1" x14ac:dyDescent="0.25">
      <c r="B670" s="41"/>
      <c r="C670" s="42"/>
      <c r="D670" s="43" t="str">
        <f t="shared" si="30"/>
        <v/>
      </c>
      <c r="E670" s="44" t="str">
        <f>IF($C670="","",INDEX(Summary!$J$3:$J$7,MATCH($C670,TaskListLeads,FALSE),1))</f>
        <v/>
      </c>
      <c r="F670" s="50"/>
      <c r="G670" s="45" t="str">
        <f t="shared" si="31"/>
        <v/>
      </c>
      <c r="H670" s="50"/>
      <c r="I670" s="45" t="str">
        <f t="shared" si="32"/>
        <v/>
      </c>
      <c r="J670" s="41"/>
    </row>
    <row r="671" spans="2:10" ht="39.950000000000003" customHeight="1" x14ac:dyDescent="0.25">
      <c r="B671" s="41"/>
      <c r="C671" s="42"/>
      <c r="D671" s="43" t="str">
        <f t="shared" si="30"/>
        <v/>
      </c>
      <c r="E671" s="44" t="str">
        <f>IF($C671="","",INDEX(Summary!$J$3:$J$7,MATCH($C671,TaskListLeads,FALSE),1))</f>
        <v/>
      </c>
      <c r="F671" s="50"/>
      <c r="G671" s="45" t="str">
        <f t="shared" si="31"/>
        <v/>
      </c>
      <c r="H671" s="50"/>
      <c r="I671" s="45" t="str">
        <f t="shared" si="32"/>
        <v/>
      </c>
      <c r="J671" s="41"/>
    </row>
    <row r="672" spans="2:10" ht="39.950000000000003" customHeight="1" x14ac:dyDescent="0.25">
      <c r="B672" s="41"/>
      <c r="C672" s="42"/>
      <c r="D672" s="43" t="str">
        <f t="shared" si="30"/>
        <v/>
      </c>
      <c r="E672" s="44" t="str">
        <f>IF($C672="","",INDEX(Summary!$J$3:$J$7,MATCH($C672,TaskListLeads,FALSE),1))</f>
        <v/>
      </c>
      <c r="F672" s="50"/>
      <c r="G672" s="45" t="str">
        <f t="shared" si="31"/>
        <v/>
      </c>
      <c r="H672" s="50"/>
      <c r="I672" s="45" t="str">
        <f t="shared" si="32"/>
        <v/>
      </c>
      <c r="J672" s="41"/>
    </row>
    <row r="673" spans="2:10" ht="39.950000000000003" customHeight="1" x14ac:dyDescent="0.25">
      <c r="B673" s="41"/>
      <c r="C673" s="42"/>
      <c r="D673" s="43" t="str">
        <f t="shared" si="30"/>
        <v/>
      </c>
      <c r="E673" s="44" t="str">
        <f>IF($C673="","",INDEX(Summary!$J$3:$J$7,MATCH($C673,TaskListLeads,FALSE),1))</f>
        <v/>
      </c>
      <c r="F673" s="50"/>
      <c r="G673" s="45" t="str">
        <f t="shared" si="31"/>
        <v/>
      </c>
      <c r="H673" s="50"/>
      <c r="I673" s="45" t="str">
        <f t="shared" si="32"/>
        <v/>
      </c>
      <c r="J673" s="41"/>
    </row>
    <row r="674" spans="2:10" ht="39.950000000000003" customHeight="1" x14ac:dyDescent="0.25">
      <c r="B674" s="41"/>
      <c r="C674" s="42"/>
      <c r="D674" s="43" t="str">
        <f t="shared" si="30"/>
        <v/>
      </c>
      <c r="E674" s="44" t="str">
        <f>IF($C674="","",INDEX(Summary!$J$3:$J$7,MATCH($C674,TaskListLeads,FALSE),1))</f>
        <v/>
      </c>
      <c r="F674" s="50"/>
      <c r="G674" s="45" t="str">
        <f t="shared" si="31"/>
        <v/>
      </c>
      <c r="H674" s="50"/>
      <c r="I674" s="45" t="str">
        <f t="shared" si="32"/>
        <v/>
      </c>
      <c r="J674" s="41"/>
    </row>
    <row r="675" spans="2:10" ht="39.950000000000003" customHeight="1" x14ac:dyDescent="0.25">
      <c r="B675" s="41"/>
      <c r="C675" s="42"/>
      <c r="D675" s="43" t="str">
        <f t="shared" si="30"/>
        <v/>
      </c>
      <c r="E675" s="44" t="str">
        <f>IF($C675="","",INDEX(Summary!$J$3:$J$7,MATCH($C675,TaskListLeads,FALSE),1))</f>
        <v/>
      </c>
      <c r="F675" s="50"/>
      <c r="G675" s="45" t="str">
        <f t="shared" si="31"/>
        <v/>
      </c>
      <c r="H675" s="50"/>
      <c r="I675" s="45" t="str">
        <f t="shared" si="32"/>
        <v/>
      </c>
      <c r="J675" s="41"/>
    </row>
    <row r="676" spans="2:10" ht="39.950000000000003" customHeight="1" x14ac:dyDescent="0.25">
      <c r="B676" s="41"/>
      <c r="C676" s="42"/>
      <c r="D676" s="43" t="str">
        <f t="shared" si="30"/>
        <v/>
      </c>
      <c r="E676" s="44" t="str">
        <f>IF($C676="","",INDEX(Summary!$J$3:$J$7,MATCH($C676,TaskListLeads,FALSE),1))</f>
        <v/>
      </c>
      <c r="F676" s="50"/>
      <c r="G676" s="45" t="str">
        <f t="shared" si="31"/>
        <v/>
      </c>
      <c r="H676" s="50"/>
      <c r="I676" s="45" t="str">
        <f t="shared" si="32"/>
        <v/>
      </c>
      <c r="J676" s="41"/>
    </row>
    <row r="677" spans="2:10" ht="39.950000000000003" customHeight="1" x14ac:dyDescent="0.25">
      <c r="B677" s="41"/>
      <c r="C677" s="42"/>
      <c r="D677" s="43" t="str">
        <f t="shared" si="30"/>
        <v/>
      </c>
      <c r="E677" s="44" t="str">
        <f>IF($C677="","",INDEX(Summary!$J$3:$J$7,MATCH($C677,TaskListLeads,FALSE),1))</f>
        <v/>
      </c>
      <c r="F677" s="50"/>
      <c r="G677" s="45" t="str">
        <f t="shared" si="31"/>
        <v/>
      </c>
      <c r="H677" s="50"/>
      <c r="I677" s="45" t="str">
        <f t="shared" si="32"/>
        <v/>
      </c>
      <c r="J677" s="41"/>
    </row>
    <row r="678" spans="2:10" ht="39.950000000000003" customHeight="1" x14ac:dyDescent="0.25">
      <c r="B678" s="41"/>
      <c r="C678" s="42"/>
      <c r="D678" s="43" t="str">
        <f t="shared" si="30"/>
        <v/>
      </c>
      <c r="E678" s="44" t="str">
        <f>IF($C678="","",INDEX(Summary!$J$3:$J$7,MATCH($C678,TaskListLeads,FALSE),1))</f>
        <v/>
      </c>
      <c r="F678" s="50"/>
      <c r="G678" s="45" t="str">
        <f t="shared" si="31"/>
        <v/>
      </c>
      <c r="H678" s="50"/>
      <c r="I678" s="45" t="str">
        <f t="shared" si="32"/>
        <v/>
      </c>
      <c r="J678" s="41"/>
    </row>
    <row r="679" spans="2:10" ht="39.950000000000003" customHeight="1" x14ac:dyDescent="0.25">
      <c r="B679" s="41"/>
      <c r="C679" s="42"/>
      <c r="D679" s="43" t="str">
        <f t="shared" si="30"/>
        <v/>
      </c>
      <c r="E679" s="44" t="str">
        <f>IF($C679="","",INDEX(Summary!$J$3:$J$7,MATCH($C679,TaskListLeads,FALSE),1))</f>
        <v/>
      </c>
      <c r="F679" s="50"/>
      <c r="G679" s="45" t="str">
        <f t="shared" si="31"/>
        <v/>
      </c>
      <c r="H679" s="50"/>
      <c r="I679" s="45" t="str">
        <f t="shared" si="32"/>
        <v/>
      </c>
      <c r="J679" s="41"/>
    </row>
    <row r="680" spans="2:10" ht="39.950000000000003" customHeight="1" x14ac:dyDescent="0.25">
      <c r="B680" s="41"/>
      <c r="C680" s="42"/>
      <c r="D680" s="43" t="str">
        <f t="shared" si="30"/>
        <v/>
      </c>
      <c r="E680" s="44" t="str">
        <f>IF($C680="","",INDEX(Summary!$J$3:$J$7,MATCH($C680,TaskListLeads,FALSE),1))</f>
        <v/>
      </c>
      <c r="F680" s="50"/>
      <c r="G680" s="45" t="str">
        <f t="shared" si="31"/>
        <v/>
      </c>
      <c r="H680" s="50"/>
      <c r="I680" s="45" t="str">
        <f t="shared" si="32"/>
        <v/>
      </c>
      <c r="J680" s="41"/>
    </row>
    <row r="681" spans="2:10" ht="39.950000000000003" customHeight="1" x14ac:dyDescent="0.25">
      <c r="B681" s="41"/>
      <c r="C681" s="42"/>
      <c r="D681" s="43" t="str">
        <f t="shared" si="30"/>
        <v/>
      </c>
      <c r="E681" s="44" t="str">
        <f>IF($C681="","",INDEX(Summary!$J$3:$J$7,MATCH($C681,TaskListLeads,FALSE),1))</f>
        <v/>
      </c>
      <c r="F681" s="50"/>
      <c r="G681" s="45" t="str">
        <f t="shared" si="31"/>
        <v/>
      </c>
      <c r="H681" s="50"/>
      <c r="I681" s="45" t="str">
        <f t="shared" si="32"/>
        <v/>
      </c>
      <c r="J681" s="41"/>
    </row>
    <row r="682" spans="2:10" ht="39.950000000000003" customHeight="1" x14ac:dyDescent="0.25">
      <c r="B682" s="41"/>
      <c r="C682" s="42"/>
      <c r="D682" s="43" t="str">
        <f t="shared" si="30"/>
        <v/>
      </c>
      <c r="E682" s="44" t="str">
        <f>IF($C682="","",INDEX(Summary!$J$3:$J$7,MATCH($C682,TaskListLeads,FALSE),1))</f>
        <v/>
      </c>
      <c r="F682" s="50"/>
      <c r="G682" s="45" t="str">
        <f t="shared" si="31"/>
        <v/>
      </c>
      <c r="H682" s="50"/>
      <c r="I682" s="45" t="str">
        <f t="shared" si="32"/>
        <v/>
      </c>
      <c r="J682" s="41"/>
    </row>
    <row r="683" spans="2:10" ht="39.950000000000003" customHeight="1" x14ac:dyDescent="0.25">
      <c r="B683" s="41"/>
      <c r="C683" s="42"/>
      <c r="D683" s="43" t="str">
        <f t="shared" si="30"/>
        <v/>
      </c>
      <c r="E683" s="44" t="str">
        <f>IF($C683="","",INDEX(Summary!$J$3:$J$7,MATCH($C683,TaskListLeads,FALSE),1))</f>
        <v/>
      </c>
      <c r="F683" s="50"/>
      <c r="G683" s="45" t="str">
        <f t="shared" si="31"/>
        <v/>
      </c>
      <c r="H683" s="50"/>
      <c r="I683" s="45" t="str">
        <f t="shared" si="32"/>
        <v/>
      </c>
      <c r="J683" s="41"/>
    </row>
    <row r="684" spans="2:10" ht="39.950000000000003" customHeight="1" x14ac:dyDescent="0.25">
      <c r="B684" s="41"/>
      <c r="C684" s="42"/>
      <c r="D684" s="43" t="str">
        <f t="shared" si="30"/>
        <v/>
      </c>
      <c r="E684" s="44" t="str">
        <f>IF($C684="","",INDEX(Summary!$J$3:$J$7,MATCH($C684,TaskListLeads,FALSE),1))</f>
        <v/>
      </c>
      <c r="F684" s="50"/>
      <c r="G684" s="45" t="str">
        <f t="shared" si="31"/>
        <v/>
      </c>
      <c r="H684" s="50"/>
      <c r="I684" s="45" t="str">
        <f t="shared" si="32"/>
        <v/>
      </c>
      <c r="J684" s="41"/>
    </row>
    <row r="685" spans="2:10" ht="39.950000000000003" customHeight="1" x14ac:dyDescent="0.25">
      <c r="B685" s="41"/>
      <c r="C685" s="42"/>
      <c r="D685" s="43" t="str">
        <f t="shared" si="30"/>
        <v/>
      </c>
      <c r="E685" s="44" t="str">
        <f>IF($C685="","",INDEX(Summary!$J$3:$J$7,MATCH($C685,TaskListLeads,FALSE),1))</f>
        <v/>
      </c>
      <c r="F685" s="50"/>
      <c r="G685" s="45" t="str">
        <f t="shared" si="31"/>
        <v/>
      </c>
      <c r="H685" s="50"/>
      <c r="I685" s="45" t="str">
        <f t="shared" si="32"/>
        <v/>
      </c>
      <c r="J685" s="41"/>
    </row>
    <row r="686" spans="2:10" ht="39.950000000000003" customHeight="1" x14ac:dyDescent="0.25">
      <c r="B686" s="41"/>
      <c r="C686" s="42"/>
      <c r="D686" s="43" t="str">
        <f t="shared" si="30"/>
        <v/>
      </c>
      <c r="E686" s="44" t="str">
        <f>IF($C686="","",INDEX(Summary!$J$3:$J$7,MATCH($C686,TaskListLeads,FALSE),1))</f>
        <v/>
      </c>
      <c r="F686" s="50"/>
      <c r="G686" s="45" t="str">
        <f t="shared" si="31"/>
        <v/>
      </c>
      <c r="H686" s="50"/>
      <c r="I686" s="45" t="str">
        <f t="shared" si="32"/>
        <v/>
      </c>
      <c r="J686" s="41"/>
    </row>
    <row r="687" spans="2:10" ht="39.950000000000003" customHeight="1" x14ac:dyDescent="0.25">
      <c r="B687" s="41"/>
      <c r="C687" s="42"/>
      <c r="D687" s="43" t="str">
        <f t="shared" si="30"/>
        <v/>
      </c>
      <c r="E687" s="44" t="str">
        <f>IF($C687="","",INDEX(Summary!$J$3:$J$7,MATCH($C687,TaskListLeads,FALSE),1))</f>
        <v/>
      </c>
      <c r="F687" s="50"/>
      <c r="G687" s="45" t="str">
        <f t="shared" si="31"/>
        <v/>
      </c>
      <c r="H687" s="50"/>
      <c r="I687" s="45" t="str">
        <f t="shared" si="32"/>
        <v/>
      </c>
      <c r="J687" s="41"/>
    </row>
    <row r="688" spans="2:10" ht="39.950000000000003" customHeight="1" x14ac:dyDescent="0.25">
      <c r="B688" s="41"/>
      <c r="C688" s="42"/>
      <c r="D688" s="43" t="str">
        <f t="shared" si="30"/>
        <v/>
      </c>
      <c r="E688" s="44" t="str">
        <f>IF($C688="","",INDEX(Summary!$J$3:$J$7,MATCH($C688,TaskListLeads,FALSE),1))</f>
        <v/>
      </c>
      <c r="F688" s="50"/>
      <c r="G688" s="45" t="str">
        <f t="shared" si="31"/>
        <v/>
      </c>
      <c r="H688" s="50"/>
      <c r="I688" s="45" t="str">
        <f t="shared" si="32"/>
        <v/>
      </c>
      <c r="J688" s="41"/>
    </row>
    <row r="689" spans="2:10" ht="39.950000000000003" customHeight="1" x14ac:dyDescent="0.25">
      <c r="B689" s="41"/>
      <c r="C689" s="42"/>
      <c r="D689" s="43" t="str">
        <f t="shared" si="30"/>
        <v/>
      </c>
      <c r="E689" s="44" t="str">
        <f>IF($C689="","",INDEX(Summary!$J$3:$J$7,MATCH($C689,TaskListLeads,FALSE),1))</f>
        <v/>
      </c>
      <c r="F689" s="50"/>
      <c r="G689" s="45" t="str">
        <f t="shared" si="31"/>
        <v/>
      </c>
      <c r="H689" s="50"/>
      <c r="I689" s="45" t="str">
        <f t="shared" si="32"/>
        <v/>
      </c>
      <c r="J689" s="41"/>
    </row>
    <row r="690" spans="2:10" ht="39.950000000000003" customHeight="1" x14ac:dyDescent="0.25">
      <c r="B690" s="41"/>
      <c r="C690" s="42"/>
      <c r="D690" s="43" t="str">
        <f t="shared" si="30"/>
        <v/>
      </c>
      <c r="E690" s="44" t="str">
        <f>IF($C690="","",INDEX(Summary!$J$3:$J$7,MATCH($C690,TaskListLeads,FALSE),1))</f>
        <v/>
      </c>
      <c r="F690" s="50"/>
      <c r="G690" s="45" t="str">
        <f t="shared" si="31"/>
        <v/>
      </c>
      <c r="H690" s="50"/>
      <c r="I690" s="45" t="str">
        <f t="shared" si="32"/>
        <v/>
      </c>
      <c r="J690" s="41"/>
    </row>
    <row r="691" spans="2:10" ht="39.950000000000003" customHeight="1" x14ac:dyDescent="0.25">
      <c r="B691" s="41"/>
      <c r="C691" s="42"/>
      <c r="D691" s="43" t="str">
        <f t="shared" si="30"/>
        <v/>
      </c>
      <c r="E691" s="44" t="str">
        <f>IF($C691="","",INDEX(Summary!$J$3:$J$7,MATCH($C691,TaskListLeads,FALSE),1))</f>
        <v/>
      </c>
      <c r="F691" s="50"/>
      <c r="G691" s="45" t="str">
        <f t="shared" si="31"/>
        <v/>
      </c>
      <c r="H691" s="50"/>
      <c r="I691" s="45" t="str">
        <f t="shared" si="32"/>
        <v/>
      </c>
      <c r="J691" s="41"/>
    </row>
    <row r="692" spans="2:10" ht="39.950000000000003" customHeight="1" x14ac:dyDescent="0.25">
      <c r="B692" s="41"/>
      <c r="C692" s="42"/>
      <c r="D692" s="43" t="str">
        <f t="shared" si="30"/>
        <v/>
      </c>
      <c r="E692" s="44" t="str">
        <f>IF($C692="","",INDEX(Summary!$J$3:$J$7,MATCH($C692,TaskListLeads,FALSE),1))</f>
        <v/>
      </c>
      <c r="F692" s="50"/>
      <c r="G692" s="45" t="str">
        <f t="shared" si="31"/>
        <v/>
      </c>
      <c r="H692" s="50"/>
      <c r="I692" s="45" t="str">
        <f t="shared" si="32"/>
        <v/>
      </c>
      <c r="J692" s="41"/>
    </row>
    <row r="693" spans="2:10" ht="39.950000000000003" customHeight="1" x14ac:dyDescent="0.25">
      <c r="B693" s="41"/>
      <c r="C693" s="42"/>
      <c r="D693" s="43" t="str">
        <f t="shared" si="30"/>
        <v/>
      </c>
      <c r="E693" s="44" t="str">
        <f>IF($C693="","",INDEX(Summary!$J$3:$J$7,MATCH($C693,TaskListLeads,FALSE),1))</f>
        <v/>
      </c>
      <c r="F693" s="50"/>
      <c r="G693" s="45" t="str">
        <f t="shared" si="31"/>
        <v/>
      </c>
      <c r="H693" s="50"/>
      <c r="I693" s="45" t="str">
        <f t="shared" si="32"/>
        <v/>
      </c>
      <c r="J693" s="41"/>
    </row>
    <row r="694" spans="2:10" ht="39.950000000000003" customHeight="1" x14ac:dyDescent="0.25">
      <c r="B694" s="41"/>
      <c r="C694" s="42"/>
      <c r="D694" s="43" t="str">
        <f t="shared" si="30"/>
        <v/>
      </c>
      <c r="E694" s="44" t="str">
        <f>IF($C694="","",INDEX(Summary!$J$3:$J$7,MATCH($C694,TaskListLeads,FALSE),1))</f>
        <v/>
      </c>
      <c r="F694" s="50"/>
      <c r="G694" s="45" t="str">
        <f t="shared" si="31"/>
        <v/>
      </c>
      <c r="H694" s="50"/>
      <c r="I694" s="45" t="str">
        <f t="shared" si="32"/>
        <v/>
      </c>
      <c r="J694" s="41"/>
    </row>
    <row r="695" spans="2:10" ht="39.950000000000003" customHeight="1" x14ac:dyDescent="0.25">
      <c r="B695" s="41"/>
      <c r="C695" s="42"/>
      <c r="D695" s="43" t="str">
        <f t="shared" si="30"/>
        <v/>
      </c>
      <c r="E695" s="44" t="str">
        <f>IF($C695="","",INDEX(Summary!$J$3:$J$7,MATCH($C695,TaskListLeads,FALSE),1))</f>
        <v/>
      </c>
      <c r="F695" s="50"/>
      <c r="G695" s="45" t="str">
        <f t="shared" si="31"/>
        <v/>
      </c>
      <c r="H695" s="50"/>
      <c r="I695" s="45" t="str">
        <f t="shared" si="32"/>
        <v/>
      </c>
      <c r="J695" s="41"/>
    </row>
    <row r="696" spans="2:10" ht="39.950000000000003" customHeight="1" x14ac:dyDescent="0.25">
      <c r="B696" s="41"/>
      <c r="C696" s="42"/>
      <c r="D696" s="43" t="str">
        <f t="shared" si="30"/>
        <v/>
      </c>
      <c r="E696" s="44" t="str">
        <f>IF($C696="","",INDEX(Summary!$J$3:$J$7,MATCH($C696,TaskListLeads,FALSE),1))</f>
        <v/>
      </c>
      <c r="F696" s="50"/>
      <c r="G696" s="45" t="str">
        <f t="shared" si="31"/>
        <v/>
      </c>
      <c r="H696" s="50"/>
      <c r="I696" s="45" t="str">
        <f t="shared" si="32"/>
        <v/>
      </c>
      <c r="J696" s="41"/>
    </row>
    <row r="697" spans="2:10" ht="39.950000000000003" customHeight="1" x14ac:dyDescent="0.25">
      <c r="B697" s="41"/>
      <c r="C697" s="42"/>
      <c r="D697" s="43" t="str">
        <f t="shared" si="30"/>
        <v/>
      </c>
      <c r="E697" s="44" t="str">
        <f>IF($C697="","",INDEX(Summary!$J$3:$J$7,MATCH($C697,TaskListLeads,FALSE),1))</f>
        <v/>
      </c>
      <c r="F697" s="50"/>
      <c r="G697" s="45" t="str">
        <f t="shared" si="31"/>
        <v/>
      </c>
      <c r="H697" s="50"/>
      <c r="I697" s="45" t="str">
        <f t="shared" si="32"/>
        <v/>
      </c>
      <c r="J697" s="41"/>
    </row>
    <row r="698" spans="2:10" ht="39.950000000000003" customHeight="1" x14ac:dyDescent="0.25">
      <c r="B698" s="41"/>
      <c r="C698" s="42"/>
      <c r="D698" s="43" t="str">
        <f t="shared" si="30"/>
        <v/>
      </c>
      <c r="E698" s="44" t="str">
        <f>IF($C698="","",INDEX(Summary!$J$3:$J$7,MATCH($C698,TaskListLeads,FALSE),1))</f>
        <v/>
      </c>
      <c r="F698" s="50"/>
      <c r="G698" s="45" t="str">
        <f t="shared" si="31"/>
        <v/>
      </c>
      <c r="H698" s="50"/>
      <c r="I698" s="45" t="str">
        <f t="shared" si="32"/>
        <v/>
      </c>
      <c r="J698" s="41"/>
    </row>
    <row r="699" spans="2:10" ht="39.950000000000003" customHeight="1" x14ac:dyDescent="0.25">
      <c r="B699" s="41"/>
      <c r="C699" s="42"/>
      <c r="D699" s="43" t="str">
        <f t="shared" si="30"/>
        <v/>
      </c>
      <c r="E699" s="44" t="str">
        <f>IF($C699="","",INDEX(Summary!$J$3:$J$7,MATCH($C699,TaskListLeads,FALSE),1))</f>
        <v/>
      </c>
      <c r="F699" s="50"/>
      <c r="G699" s="45" t="str">
        <f t="shared" si="31"/>
        <v/>
      </c>
      <c r="H699" s="50"/>
      <c r="I699" s="45" t="str">
        <f t="shared" si="32"/>
        <v/>
      </c>
      <c r="J699" s="41"/>
    </row>
    <row r="700" spans="2:10" ht="39.950000000000003" customHeight="1" x14ac:dyDescent="0.25">
      <c r="B700" s="41"/>
      <c r="C700" s="42"/>
      <c r="D700" s="43" t="str">
        <f t="shared" si="30"/>
        <v/>
      </c>
      <c r="E700" s="44" t="str">
        <f>IF($C700="","",INDEX(Summary!$J$3:$J$7,MATCH($C700,TaskListLeads,FALSE),1))</f>
        <v/>
      </c>
      <c r="F700" s="50"/>
      <c r="G700" s="45" t="str">
        <f t="shared" si="31"/>
        <v/>
      </c>
      <c r="H700" s="50"/>
      <c r="I700" s="45" t="str">
        <f t="shared" si="32"/>
        <v/>
      </c>
      <c r="J700" s="41"/>
    </row>
    <row r="701" spans="2:10" ht="39.950000000000003" customHeight="1" x14ac:dyDescent="0.25">
      <c r="B701" s="41"/>
      <c r="C701" s="42"/>
      <c r="D701" s="43" t="str">
        <f t="shared" si="30"/>
        <v/>
      </c>
      <c r="E701" s="44" t="str">
        <f>IF($C701="","",INDEX(Summary!$J$3:$J$7,MATCH($C701,TaskListLeads,FALSE),1))</f>
        <v/>
      </c>
      <c r="F701" s="50"/>
      <c r="G701" s="45" t="str">
        <f t="shared" si="31"/>
        <v/>
      </c>
      <c r="H701" s="50"/>
      <c r="I701" s="45" t="str">
        <f t="shared" si="32"/>
        <v/>
      </c>
      <c r="J701" s="41"/>
    </row>
    <row r="702" spans="2:10" ht="39.950000000000003" customHeight="1" x14ac:dyDescent="0.25">
      <c r="B702" s="41"/>
      <c r="C702" s="42"/>
      <c r="D702" s="43" t="str">
        <f t="shared" si="30"/>
        <v/>
      </c>
      <c r="E702" s="44" t="str">
        <f>IF($C702="","",INDEX(Summary!$J$3:$J$7,MATCH($C702,TaskListLeads,FALSE),1))</f>
        <v/>
      </c>
      <c r="F702" s="50"/>
      <c r="G702" s="45" t="str">
        <f t="shared" si="31"/>
        <v/>
      </c>
      <c r="H702" s="50"/>
      <c r="I702" s="45" t="str">
        <f t="shared" si="32"/>
        <v/>
      </c>
      <c r="J702" s="41"/>
    </row>
    <row r="703" spans="2:10" ht="39.950000000000003" customHeight="1" x14ac:dyDescent="0.25">
      <c r="B703" s="41"/>
      <c r="C703" s="42"/>
      <c r="D703" s="43" t="str">
        <f t="shared" si="30"/>
        <v/>
      </c>
      <c r="E703" s="44" t="str">
        <f>IF($C703="","",INDEX(Summary!$J$3:$J$7,MATCH($C703,TaskListLeads,FALSE),1))</f>
        <v/>
      </c>
      <c r="F703" s="50"/>
      <c r="G703" s="45" t="str">
        <f t="shared" si="31"/>
        <v/>
      </c>
      <c r="H703" s="50"/>
      <c r="I703" s="45" t="str">
        <f t="shared" si="32"/>
        <v/>
      </c>
      <c r="J703" s="41"/>
    </row>
    <row r="704" spans="2:10" ht="39.950000000000003" customHeight="1" x14ac:dyDescent="0.25">
      <c r="B704" s="41"/>
      <c r="C704" s="42"/>
      <c r="D704" s="43" t="str">
        <f t="shared" si="30"/>
        <v/>
      </c>
      <c r="E704" s="44" t="str">
        <f>IF($C704="","",INDEX(Summary!$J$3:$J$7,MATCH($C704,TaskListLeads,FALSE),1))</f>
        <v/>
      </c>
      <c r="F704" s="50"/>
      <c r="G704" s="45" t="str">
        <f t="shared" si="31"/>
        <v/>
      </c>
      <c r="H704" s="50"/>
      <c r="I704" s="45" t="str">
        <f t="shared" si="32"/>
        <v/>
      </c>
      <c r="J704" s="41"/>
    </row>
    <row r="705" spans="2:10" ht="39.950000000000003" customHeight="1" x14ac:dyDescent="0.25">
      <c r="B705" s="41"/>
      <c r="C705" s="42"/>
      <c r="D705" s="43" t="str">
        <f t="shared" si="30"/>
        <v/>
      </c>
      <c r="E705" s="44" t="str">
        <f>IF($C705="","",INDEX(Summary!$J$3:$J$7,MATCH($C705,TaskListLeads,FALSE),1))</f>
        <v/>
      </c>
      <c r="F705" s="50"/>
      <c r="G705" s="45" t="str">
        <f t="shared" si="31"/>
        <v/>
      </c>
      <c r="H705" s="50"/>
      <c r="I705" s="45" t="str">
        <f t="shared" si="32"/>
        <v/>
      </c>
      <c r="J705" s="41"/>
    </row>
    <row r="706" spans="2:10" ht="39.950000000000003" customHeight="1" x14ac:dyDescent="0.25">
      <c r="B706" s="41"/>
      <c r="C706" s="42"/>
      <c r="D706" s="43" t="str">
        <f t="shared" si="30"/>
        <v/>
      </c>
      <c r="E706" s="44" t="str">
        <f>IF($C706="","",INDEX(Summary!$J$3:$J$7,MATCH($C706,TaskListLeads,FALSE),1))</f>
        <v/>
      </c>
      <c r="F706" s="50"/>
      <c r="G706" s="45" t="str">
        <f t="shared" si="31"/>
        <v/>
      </c>
      <c r="H706" s="50"/>
      <c r="I706" s="45" t="str">
        <f t="shared" si="32"/>
        <v/>
      </c>
      <c r="J706" s="41"/>
    </row>
    <row r="707" spans="2:10" ht="39.950000000000003" customHeight="1" x14ac:dyDescent="0.25">
      <c r="B707" s="41"/>
      <c r="C707" s="42"/>
      <c r="D707" s="43" t="str">
        <f t="shared" si="30"/>
        <v/>
      </c>
      <c r="E707" s="44" t="str">
        <f>IF($C707="","",INDEX(Summary!$J$3:$J$7,MATCH($C707,TaskListLeads,FALSE),1))</f>
        <v/>
      </c>
      <c r="F707" s="50"/>
      <c r="G707" s="45" t="str">
        <f t="shared" si="31"/>
        <v/>
      </c>
      <c r="H707" s="50"/>
      <c r="I707" s="45" t="str">
        <f t="shared" si="32"/>
        <v/>
      </c>
      <c r="J707" s="41"/>
    </row>
    <row r="708" spans="2:10" ht="39.950000000000003" customHeight="1" x14ac:dyDescent="0.25">
      <c r="B708" s="41"/>
      <c r="C708" s="42"/>
      <c r="D708" s="43" t="str">
        <f t="shared" si="30"/>
        <v/>
      </c>
      <c r="E708" s="44" t="str">
        <f>IF($C708="","",INDEX(Summary!$J$3:$J$7,MATCH($C708,TaskListLeads,FALSE),1))</f>
        <v/>
      </c>
      <c r="F708" s="50"/>
      <c r="G708" s="45" t="str">
        <f t="shared" si="31"/>
        <v/>
      </c>
      <c r="H708" s="50"/>
      <c r="I708" s="45" t="str">
        <f t="shared" si="32"/>
        <v/>
      </c>
      <c r="J708" s="41"/>
    </row>
    <row r="709" spans="2:10" ht="39.950000000000003" customHeight="1" x14ac:dyDescent="0.25">
      <c r="B709" s="41"/>
      <c r="C709" s="42"/>
      <c r="D709" s="43" t="str">
        <f t="shared" si="30"/>
        <v/>
      </c>
      <c r="E709" s="44" t="str">
        <f>IF($C709="","",INDEX(Summary!$J$3:$J$7,MATCH($C709,TaskListLeads,FALSE),1))</f>
        <v/>
      </c>
      <c r="F709" s="50"/>
      <c r="G709" s="45" t="str">
        <f t="shared" si="31"/>
        <v/>
      </c>
      <c r="H709" s="50"/>
      <c r="I709" s="45" t="str">
        <f t="shared" si="32"/>
        <v/>
      </c>
      <c r="J709" s="41"/>
    </row>
    <row r="710" spans="2:10" ht="39.950000000000003" customHeight="1" x14ac:dyDescent="0.25">
      <c r="B710" s="41"/>
      <c r="C710" s="42"/>
      <c r="D710" s="43" t="str">
        <f t="shared" si="30"/>
        <v/>
      </c>
      <c r="E710" s="44" t="str">
        <f>IF($C710="","",INDEX(Summary!$J$3:$J$7,MATCH($C710,TaskListLeads,FALSE),1))</f>
        <v/>
      </c>
      <c r="F710" s="50"/>
      <c r="G710" s="45" t="str">
        <f t="shared" si="31"/>
        <v/>
      </c>
      <c r="H710" s="50"/>
      <c r="I710" s="45" t="str">
        <f t="shared" si="32"/>
        <v/>
      </c>
      <c r="J710" s="41"/>
    </row>
    <row r="711" spans="2:10" ht="39.950000000000003" customHeight="1" x14ac:dyDescent="0.25">
      <c r="B711" s="41"/>
      <c r="C711" s="42"/>
      <c r="D711" s="43" t="str">
        <f t="shared" si="30"/>
        <v/>
      </c>
      <c r="E711" s="44" t="str">
        <f>IF($C711="","",INDEX(Summary!$J$3:$J$7,MATCH($C711,TaskListLeads,FALSE),1))</f>
        <v/>
      </c>
      <c r="F711" s="50"/>
      <c r="G711" s="45" t="str">
        <f t="shared" si="31"/>
        <v/>
      </c>
      <c r="H711" s="50"/>
      <c r="I711" s="45" t="str">
        <f t="shared" si="32"/>
        <v/>
      </c>
      <c r="J711" s="41"/>
    </row>
    <row r="712" spans="2:10" ht="39.950000000000003" customHeight="1" x14ac:dyDescent="0.25">
      <c r="B712" s="41"/>
      <c r="C712" s="42"/>
      <c r="D712" s="43" t="str">
        <f t="shared" si="30"/>
        <v/>
      </c>
      <c r="E712" s="44" t="str">
        <f>IF($C712="","",INDEX(Summary!$J$3:$J$7,MATCH($C712,TaskListLeads,FALSE),1))</f>
        <v/>
      </c>
      <c r="F712" s="50"/>
      <c r="G712" s="45" t="str">
        <f t="shared" si="31"/>
        <v/>
      </c>
      <c r="H712" s="50"/>
      <c r="I712" s="45" t="str">
        <f t="shared" si="32"/>
        <v/>
      </c>
      <c r="J712" s="41"/>
    </row>
    <row r="713" spans="2:10" ht="39.950000000000003" customHeight="1" x14ac:dyDescent="0.25">
      <c r="B713" s="41"/>
      <c r="C713" s="42"/>
      <c r="D713" s="43" t="str">
        <f t="shared" si="30"/>
        <v/>
      </c>
      <c r="E713" s="44" t="str">
        <f>IF($C713="","",INDEX(Summary!$J$3:$J$7,MATCH($C713,TaskListLeads,FALSE),1))</f>
        <v/>
      </c>
      <c r="F713" s="50"/>
      <c r="G713" s="45" t="str">
        <f t="shared" si="31"/>
        <v/>
      </c>
      <c r="H713" s="50"/>
      <c r="I713" s="45" t="str">
        <f t="shared" si="32"/>
        <v/>
      </c>
      <c r="J713" s="41"/>
    </row>
    <row r="714" spans="2:10" ht="39.950000000000003" customHeight="1" x14ac:dyDescent="0.25">
      <c r="B714" s="41"/>
      <c r="C714" s="42"/>
      <c r="D714" s="43" t="str">
        <f t="shared" si="30"/>
        <v/>
      </c>
      <c r="E714" s="44" t="str">
        <f>IF($C714="","",INDEX(Summary!$J$3:$J$7,MATCH($C714,TaskListLeads,FALSE),1))</f>
        <v/>
      </c>
      <c r="F714" s="50"/>
      <c r="G714" s="45" t="str">
        <f t="shared" si="31"/>
        <v/>
      </c>
      <c r="H714" s="50"/>
      <c r="I714" s="45" t="str">
        <f t="shared" si="32"/>
        <v/>
      </c>
      <c r="J714" s="41"/>
    </row>
    <row r="715" spans="2:10" ht="39.950000000000003" customHeight="1" x14ac:dyDescent="0.25">
      <c r="B715" s="41"/>
      <c r="C715" s="42"/>
      <c r="D715" s="43" t="str">
        <f t="shared" ref="D715:D778" si="33">IF($C715="","",INDEX(TaskListCostCentres,MATCH($C715,TaskListLeads,FALSE),1))</f>
        <v/>
      </c>
      <c r="E715" s="44" t="str">
        <f>IF($C715="","",INDEX(Summary!$J$3:$J$7,MATCH($C715,TaskListLeads,FALSE),1))</f>
        <v/>
      </c>
      <c r="F715" s="50"/>
      <c r="G715" s="45" t="str">
        <f t="shared" ref="G715:G778" si="34">IF($F715="","",INDEX(ControlWeeksOf,MATCH($F715,ControlWeeksOf,TRUE),1))</f>
        <v/>
      </c>
      <c r="H715" s="50"/>
      <c r="I715" s="45" t="str">
        <f t="shared" ref="I715:I778" si="35">IF($H715="","",INDEX(ControlWeeksOf,MATCH($H715,ControlWeeksOf,TRUE),1))</f>
        <v/>
      </c>
      <c r="J715" s="41"/>
    </row>
    <row r="716" spans="2:10" ht="39.950000000000003" customHeight="1" x14ac:dyDescent="0.25">
      <c r="B716" s="41"/>
      <c r="C716" s="42"/>
      <c r="D716" s="43" t="str">
        <f t="shared" si="33"/>
        <v/>
      </c>
      <c r="E716" s="44" t="str">
        <f>IF($C716="","",INDEX(Summary!$J$3:$J$7,MATCH($C716,TaskListLeads,FALSE),1))</f>
        <v/>
      </c>
      <c r="F716" s="50"/>
      <c r="G716" s="45" t="str">
        <f t="shared" si="34"/>
        <v/>
      </c>
      <c r="H716" s="50"/>
      <c r="I716" s="45" t="str">
        <f t="shared" si="35"/>
        <v/>
      </c>
      <c r="J716" s="41"/>
    </row>
    <row r="717" spans="2:10" ht="39.950000000000003" customHeight="1" x14ac:dyDescent="0.25">
      <c r="B717" s="41"/>
      <c r="C717" s="42"/>
      <c r="D717" s="43" t="str">
        <f t="shared" si="33"/>
        <v/>
      </c>
      <c r="E717" s="44" t="str">
        <f>IF($C717="","",INDEX(Summary!$J$3:$J$7,MATCH($C717,TaskListLeads,FALSE),1))</f>
        <v/>
      </c>
      <c r="F717" s="50"/>
      <c r="G717" s="45" t="str">
        <f t="shared" si="34"/>
        <v/>
      </c>
      <c r="H717" s="50"/>
      <c r="I717" s="45" t="str">
        <f t="shared" si="35"/>
        <v/>
      </c>
      <c r="J717" s="41"/>
    </row>
    <row r="718" spans="2:10" ht="39.950000000000003" customHeight="1" x14ac:dyDescent="0.25">
      <c r="B718" s="41"/>
      <c r="C718" s="42"/>
      <c r="D718" s="43" t="str">
        <f t="shared" si="33"/>
        <v/>
      </c>
      <c r="E718" s="44" t="str">
        <f>IF($C718="","",INDEX(Summary!$J$3:$J$7,MATCH($C718,TaskListLeads,FALSE),1))</f>
        <v/>
      </c>
      <c r="F718" s="50"/>
      <c r="G718" s="45" t="str">
        <f t="shared" si="34"/>
        <v/>
      </c>
      <c r="H718" s="50"/>
      <c r="I718" s="45" t="str">
        <f t="shared" si="35"/>
        <v/>
      </c>
      <c r="J718" s="41"/>
    </row>
    <row r="719" spans="2:10" ht="39.950000000000003" customHeight="1" x14ac:dyDescent="0.25">
      <c r="B719" s="41"/>
      <c r="C719" s="42"/>
      <c r="D719" s="43" t="str">
        <f t="shared" si="33"/>
        <v/>
      </c>
      <c r="E719" s="44" t="str">
        <f>IF($C719="","",INDEX(Summary!$J$3:$J$7,MATCH($C719,TaskListLeads,FALSE),1))</f>
        <v/>
      </c>
      <c r="F719" s="50"/>
      <c r="G719" s="45" t="str">
        <f t="shared" si="34"/>
        <v/>
      </c>
      <c r="H719" s="50"/>
      <c r="I719" s="45" t="str">
        <f t="shared" si="35"/>
        <v/>
      </c>
      <c r="J719" s="41"/>
    </row>
    <row r="720" spans="2:10" ht="39.950000000000003" customHeight="1" x14ac:dyDescent="0.25">
      <c r="B720" s="41"/>
      <c r="C720" s="42"/>
      <c r="D720" s="43" t="str">
        <f t="shared" si="33"/>
        <v/>
      </c>
      <c r="E720" s="44" t="str">
        <f>IF($C720="","",INDEX(Summary!$J$3:$J$7,MATCH($C720,TaskListLeads,FALSE),1))</f>
        <v/>
      </c>
      <c r="F720" s="50"/>
      <c r="G720" s="45" t="str">
        <f t="shared" si="34"/>
        <v/>
      </c>
      <c r="H720" s="50"/>
      <c r="I720" s="45" t="str">
        <f t="shared" si="35"/>
        <v/>
      </c>
      <c r="J720" s="41"/>
    </row>
    <row r="721" spans="2:10" ht="39.950000000000003" customHeight="1" x14ac:dyDescent="0.25">
      <c r="B721" s="41"/>
      <c r="C721" s="42"/>
      <c r="D721" s="43" t="str">
        <f t="shared" si="33"/>
        <v/>
      </c>
      <c r="E721" s="44" t="str">
        <f>IF($C721="","",INDEX(Summary!$J$3:$J$7,MATCH($C721,TaskListLeads,FALSE),1))</f>
        <v/>
      </c>
      <c r="F721" s="50"/>
      <c r="G721" s="45" t="str">
        <f t="shared" si="34"/>
        <v/>
      </c>
      <c r="H721" s="50"/>
      <c r="I721" s="45" t="str">
        <f t="shared" si="35"/>
        <v/>
      </c>
      <c r="J721" s="41"/>
    </row>
    <row r="722" spans="2:10" ht="39.950000000000003" customHeight="1" x14ac:dyDescent="0.25">
      <c r="B722" s="41"/>
      <c r="C722" s="42"/>
      <c r="D722" s="43" t="str">
        <f t="shared" si="33"/>
        <v/>
      </c>
      <c r="E722" s="44" t="str">
        <f>IF($C722="","",INDEX(Summary!$J$3:$J$7,MATCH($C722,TaskListLeads,FALSE),1))</f>
        <v/>
      </c>
      <c r="F722" s="50"/>
      <c r="G722" s="45" t="str">
        <f t="shared" si="34"/>
        <v/>
      </c>
      <c r="H722" s="50"/>
      <c r="I722" s="45" t="str">
        <f t="shared" si="35"/>
        <v/>
      </c>
      <c r="J722" s="41"/>
    </row>
    <row r="723" spans="2:10" ht="39.950000000000003" customHeight="1" x14ac:dyDescent="0.25">
      <c r="B723" s="41"/>
      <c r="C723" s="42"/>
      <c r="D723" s="43" t="str">
        <f t="shared" si="33"/>
        <v/>
      </c>
      <c r="E723" s="44" t="str">
        <f>IF($C723="","",INDEX(Summary!$J$3:$J$7,MATCH($C723,TaskListLeads,FALSE),1))</f>
        <v/>
      </c>
      <c r="F723" s="50"/>
      <c r="G723" s="45" t="str">
        <f t="shared" si="34"/>
        <v/>
      </c>
      <c r="H723" s="50"/>
      <c r="I723" s="45" t="str">
        <f t="shared" si="35"/>
        <v/>
      </c>
      <c r="J723" s="41"/>
    </row>
    <row r="724" spans="2:10" ht="39.950000000000003" customHeight="1" x14ac:dyDescent="0.25">
      <c r="B724" s="41"/>
      <c r="C724" s="42"/>
      <c r="D724" s="43" t="str">
        <f t="shared" si="33"/>
        <v/>
      </c>
      <c r="E724" s="44" t="str">
        <f>IF($C724="","",INDEX(Summary!$J$3:$J$7,MATCH($C724,TaskListLeads,FALSE),1))</f>
        <v/>
      </c>
      <c r="F724" s="50"/>
      <c r="G724" s="45" t="str">
        <f t="shared" si="34"/>
        <v/>
      </c>
      <c r="H724" s="50"/>
      <c r="I724" s="45" t="str">
        <f t="shared" si="35"/>
        <v/>
      </c>
      <c r="J724" s="41"/>
    </row>
    <row r="725" spans="2:10" ht="39.950000000000003" customHeight="1" x14ac:dyDescent="0.25">
      <c r="B725" s="41"/>
      <c r="C725" s="42"/>
      <c r="D725" s="43" t="str">
        <f t="shared" si="33"/>
        <v/>
      </c>
      <c r="E725" s="44" t="str">
        <f>IF($C725="","",INDEX(Summary!$J$3:$J$7,MATCH($C725,TaskListLeads,FALSE),1))</f>
        <v/>
      </c>
      <c r="F725" s="50"/>
      <c r="G725" s="45" t="str">
        <f t="shared" si="34"/>
        <v/>
      </c>
      <c r="H725" s="50"/>
      <c r="I725" s="45" t="str">
        <f t="shared" si="35"/>
        <v/>
      </c>
      <c r="J725" s="41"/>
    </row>
    <row r="726" spans="2:10" ht="39.950000000000003" customHeight="1" x14ac:dyDescent="0.25">
      <c r="B726" s="41"/>
      <c r="C726" s="42"/>
      <c r="D726" s="43" t="str">
        <f t="shared" si="33"/>
        <v/>
      </c>
      <c r="E726" s="44" t="str">
        <f>IF($C726="","",INDEX(Summary!$J$3:$J$7,MATCH($C726,TaskListLeads,FALSE),1))</f>
        <v/>
      </c>
      <c r="F726" s="50"/>
      <c r="G726" s="45" t="str">
        <f t="shared" si="34"/>
        <v/>
      </c>
      <c r="H726" s="50"/>
      <c r="I726" s="45" t="str">
        <f t="shared" si="35"/>
        <v/>
      </c>
      <c r="J726" s="41"/>
    </row>
    <row r="727" spans="2:10" ht="39.950000000000003" customHeight="1" x14ac:dyDescent="0.25">
      <c r="B727" s="41"/>
      <c r="C727" s="42"/>
      <c r="D727" s="43" t="str">
        <f t="shared" si="33"/>
        <v/>
      </c>
      <c r="E727" s="44" t="str">
        <f>IF($C727="","",INDEX(Summary!$J$3:$J$7,MATCH($C727,TaskListLeads,FALSE),1))</f>
        <v/>
      </c>
      <c r="F727" s="50"/>
      <c r="G727" s="45" t="str">
        <f t="shared" si="34"/>
        <v/>
      </c>
      <c r="H727" s="50"/>
      <c r="I727" s="45" t="str">
        <f t="shared" si="35"/>
        <v/>
      </c>
      <c r="J727" s="41"/>
    </row>
    <row r="728" spans="2:10" ht="39.950000000000003" customHeight="1" x14ac:dyDescent="0.25">
      <c r="B728" s="41"/>
      <c r="C728" s="42"/>
      <c r="D728" s="43" t="str">
        <f t="shared" si="33"/>
        <v/>
      </c>
      <c r="E728" s="44" t="str">
        <f>IF($C728="","",INDEX(Summary!$J$3:$J$7,MATCH($C728,TaskListLeads,FALSE),1))</f>
        <v/>
      </c>
      <c r="F728" s="50"/>
      <c r="G728" s="45" t="str">
        <f t="shared" si="34"/>
        <v/>
      </c>
      <c r="H728" s="50"/>
      <c r="I728" s="45" t="str">
        <f t="shared" si="35"/>
        <v/>
      </c>
      <c r="J728" s="41"/>
    </row>
    <row r="729" spans="2:10" ht="39.950000000000003" customHeight="1" x14ac:dyDescent="0.25">
      <c r="B729" s="41"/>
      <c r="C729" s="42"/>
      <c r="D729" s="43" t="str">
        <f t="shared" si="33"/>
        <v/>
      </c>
      <c r="E729" s="44" t="str">
        <f>IF($C729="","",INDEX(Summary!$J$3:$J$7,MATCH($C729,TaskListLeads,FALSE),1))</f>
        <v/>
      </c>
      <c r="F729" s="50"/>
      <c r="G729" s="45" t="str">
        <f t="shared" si="34"/>
        <v/>
      </c>
      <c r="H729" s="50"/>
      <c r="I729" s="45" t="str">
        <f t="shared" si="35"/>
        <v/>
      </c>
      <c r="J729" s="41"/>
    </row>
    <row r="730" spans="2:10" ht="39.950000000000003" customHeight="1" x14ac:dyDescent="0.25">
      <c r="B730" s="41"/>
      <c r="C730" s="42"/>
      <c r="D730" s="43" t="str">
        <f t="shared" si="33"/>
        <v/>
      </c>
      <c r="E730" s="44" t="str">
        <f>IF($C730="","",INDEX(Summary!$J$3:$J$7,MATCH($C730,TaskListLeads,FALSE),1))</f>
        <v/>
      </c>
      <c r="F730" s="50"/>
      <c r="G730" s="45" t="str">
        <f t="shared" si="34"/>
        <v/>
      </c>
      <c r="H730" s="50"/>
      <c r="I730" s="45" t="str">
        <f t="shared" si="35"/>
        <v/>
      </c>
      <c r="J730" s="41"/>
    </row>
    <row r="731" spans="2:10" ht="39.950000000000003" customHeight="1" x14ac:dyDescent="0.25">
      <c r="B731" s="41"/>
      <c r="C731" s="42"/>
      <c r="D731" s="43" t="str">
        <f t="shared" si="33"/>
        <v/>
      </c>
      <c r="E731" s="44" t="str">
        <f>IF($C731="","",INDEX(Summary!$J$3:$J$7,MATCH($C731,TaskListLeads,FALSE),1))</f>
        <v/>
      </c>
      <c r="F731" s="50"/>
      <c r="G731" s="45" t="str">
        <f t="shared" si="34"/>
        <v/>
      </c>
      <c r="H731" s="50"/>
      <c r="I731" s="45" t="str">
        <f t="shared" si="35"/>
        <v/>
      </c>
      <c r="J731" s="41"/>
    </row>
    <row r="732" spans="2:10" ht="39.950000000000003" customHeight="1" x14ac:dyDescent="0.25">
      <c r="B732" s="41"/>
      <c r="C732" s="42"/>
      <c r="D732" s="43" t="str">
        <f t="shared" si="33"/>
        <v/>
      </c>
      <c r="E732" s="44" t="str">
        <f>IF($C732="","",INDEX(Summary!$J$3:$J$7,MATCH($C732,TaskListLeads,FALSE),1))</f>
        <v/>
      </c>
      <c r="F732" s="50"/>
      <c r="G732" s="45" t="str">
        <f t="shared" si="34"/>
        <v/>
      </c>
      <c r="H732" s="50"/>
      <c r="I732" s="45" t="str">
        <f t="shared" si="35"/>
        <v/>
      </c>
      <c r="J732" s="41"/>
    </row>
    <row r="733" spans="2:10" ht="39.950000000000003" customHeight="1" x14ac:dyDescent="0.25">
      <c r="B733" s="41"/>
      <c r="C733" s="42"/>
      <c r="D733" s="43" t="str">
        <f t="shared" si="33"/>
        <v/>
      </c>
      <c r="E733" s="44" t="str">
        <f>IF($C733="","",INDEX(Summary!$J$3:$J$7,MATCH($C733,TaskListLeads,FALSE),1))</f>
        <v/>
      </c>
      <c r="F733" s="50"/>
      <c r="G733" s="45" t="str">
        <f t="shared" si="34"/>
        <v/>
      </c>
      <c r="H733" s="50"/>
      <c r="I733" s="45" t="str">
        <f t="shared" si="35"/>
        <v/>
      </c>
      <c r="J733" s="41"/>
    </row>
    <row r="734" spans="2:10" ht="39.950000000000003" customHeight="1" x14ac:dyDescent="0.25">
      <c r="B734" s="41"/>
      <c r="C734" s="42"/>
      <c r="D734" s="43" t="str">
        <f t="shared" si="33"/>
        <v/>
      </c>
      <c r="E734" s="44" t="str">
        <f>IF($C734="","",INDEX(Summary!$J$3:$J$7,MATCH($C734,TaskListLeads,FALSE),1))</f>
        <v/>
      </c>
      <c r="F734" s="50"/>
      <c r="G734" s="45" t="str">
        <f t="shared" si="34"/>
        <v/>
      </c>
      <c r="H734" s="50"/>
      <c r="I734" s="45" t="str">
        <f t="shared" si="35"/>
        <v/>
      </c>
      <c r="J734" s="41"/>
    </row>
    <row r="735" spans="2:10" ht="39.950000000000003" customHeight="1" x14ac:dyDescent="0.25">
      <c r="B735" s="41"/>
      <c r="C735" s="42"/>
      <c r="D735" s="43" t="str">
        <f t="shared" si="33"/>
        <v/>
      </c>
      <c r="E735" s="44" t="str">
        <f>IF($C735="","",INDEX(Summary!$J$3:$J$7,MATCH($C735,TaskListLeads,FALSE),1))</f>
        <v/>
      </c>
      <c r="F735" s="50"/>
      <c r="G735" s="45" t="str">
        <f t="shared" si="34"/>
        <v/>
      </c>
      <c r="H735" s="50"/>
      <c r="I735" s="45" t="str">
        <f t="shared" si="35"/>
        <v/>
      </c>
      <c r="J735" s="41"/>
    </row>
    <row r="736" spans="2:10" ht="39.950000000000003" customHeight="1" x14ac:dyDescent="0.25">
      <c r="B736" s="41"/>
      <c r="C736" s="42"/>
      <c r="D736" s="43" t="str">
        <f t="shared" si="33"/>
        <v/>
      </c>
      <c r="E736" s="44" t="str">
        <f>IF($C736="","",INDEX(Summary!$J$3:$J$7,MATCH($C736,TaskListLeads,FALSE),1))</f>
        <v/>
      </c>
      <c r="F736" s="50"/>
      <c r="G736" s="45" t="str">
        <f t="shared" si="34"/>
        <v/>
      </c>
      <c r="H736" s="50"/>
      <c r="I736" s="45" t="str">
        <f t="shared" si="35"/>
        <v/>
      </c>
      <c r="J736" s="41"/>
    </row>
    <row r="737" spans="2:10" ht="39.950000000000003" customHeight="1" x14ac:dyDescent="0.25">
      <c r="B737" s="41"/>
      <c r="C737" s="42"/>
      <c r="D737" s="43" t="str">
        <f t="shared" si="33"/>
        <v/>
      </c>
      <c r="E737" s="44" t="str">
        <f>IF($C737="","",INDEX(Summary!$J$3:$J$7,MATCH($C737,TaskListLeads,FALSE),1))</f>
        <v/>
      </c>
      <c r="F737" s="50"/>
      <c r="G737" s="45" t="str">
        <f t="shared" si="34"/>
        <v/>
      </c>
      <c r="H737" s="50"/>
      <c r="I737" s="45" t="str">
        <f t="shared" si="35"/>
        <v/>
      </c>
      <c r="J737" s="41"/>
    </row>
    <row r="738" spans="2:10" ht="39.950000000000003" customHeight="1" x14ac:dyDescent="0.25">
      <c r="B738" s="41"/>
      <c r="C738" s="42"/>
      <c r="D738" s="43" t="str">
        <f t="shared" si="33"/>
        <v/>
      </c>
      <c r="E738" s="44" t="str">
        <f>IF($C738="","",INDEX(Summary!$J$3:$J$7,MATCH($C738,TaskListLeads,FALSE),1))</f>
        <v/>
      </c>
      <c r="F738" s="50"/>
      <c r="G738" s="45" t="str">
        <f t="shared" si="34"/>
        <v/>
      </c>
      <c r="H738" s="50"/>
      <c r="I738" s="45" t="str">
        <f t="shared" si="35"/>
        <v/>
      </c>
      <c r="J738" s="41"/>
    </row>
    <row r="739" spans="2:10" ht="39.950000000000003" customHeight="1" x14ac:dyDescent="0.25">
      <c r="B739" s="41"/>
      <c r="C739" s="42"/>
      <c r="D739" s="43" t="str">
        <f t="shared" si="33"/>
        <v/>
      </c>
      <c r="E739" s="44" t="str">
        <f>IF($C739="","",INDEX(Summary!$J$3:$J$7,MATCH($C739,TaskListLeads,FALSE),1))</f>
        <v/>
      </c>
      <c r="F739" s="50"/>
      <c r="G739" s="45" t="str">
        <f t="shared" si="34"/>
        <v/>
      </c>
      <c r="H739" s="50"/>
      <c r="I739" s="45" t="str">
        <f t="shared" si="35"/>
        <v/>
      </c>
      <c r="J739" s="41"/>
    </row>
    <row r="740" spans="2:10" ht="39.950000000000003" customHeight="1" x14ac:dyDescent="0.25">
      <c r="B740" s="41"/>
      <c r="C740" s="42"/>
      <c r="D740" s="43" t="str">
        <f t="shared" si="33"/>
        <v/>
      </c>
      <c r="E740" s="44" t="str">
        <f>IF($C740="","",INDEX(Summary!$J$3:$J$7,MATCH($C740,TaskListLeads,FALSE),1))</f>
        <v/>
      </c>
      <c r="F740" s="50"/>
      <c r="G740" s="45" t="str">
        <f t="shared" si="34"/>
        <v/>
      </c>
      <c r="H740" s="50"/>
      <c r="I740" s="45" t="str">
        <f t="shared" si="35"/>
        <v/>
      </c>
      <c r="J740" s="41"/>
    </row>
    <row r="741" spans="2:10" ht="39.950000000000003" customHeight="1" x14ac:dyDescent="0.25">
      <c r="B741" s="41"/>
      <c r="C741" s="42"/>
      <c r="D741" s="43" t="str">
        <f t="shared" si="33"/>
        <v/>
      </c>
      <c r="E741" s="44" t="str">
        <f>IF($C741="","",INDEX(Summary!$J$3:$J$7,MATCH($C741,TaskListLeads,FALSE),1))</f>
        <v/>
      </c>
      <c r="F741" s="50"/>
      <c r="G741" s="45" t="str">
        <f t="shared" si="34"/>
        <v/>
      </c>
      <c r="H741" s="50"/>
      <c r="I741" s="45" t="str">
        <f t="shared" si="35"/>
        <v/>
      </c>
      <c r="J741" s="41"/>
    </row>
    <row r="742" spans="2:10" ht="39.950000000000003" customHeight="1" x14ac:dyDescent="0.25">
      <c r="B742" s="41"/>
      <c r="C742" s="42"/>
      <c r="D742" s="43" t="str">
        <f t="shared" si="33"/>
        <v/>
      </c>
      <c r="E742" s="44" t="str">
        <f>IF($C742="","",INDEX(Summary!$J$3:$J$7,MATCH($C742,TaskListLeads,FALSE),1))</f>
        <v/>
      </c>
      <c r="F742" s="50"/>
      <c r="G742" s="45" t="str">
        <f t="shared" si="34"/>
        <v/>
      </c>
      <c r="H742" s="50"/>
      <c r="I742" s="45" t="str">
        <f t="shared" si="35"/>
        <v/>
      </c>
      <c r="J742" s="41"/>
    </row>
    <row r="743" spans="2:10" ht="39.950000000000003" customHeight="1" x14ac:dyDescent="0.25">
      <c r="B743" s="41"/>
      <c r="C743" s="42"/>
      <c r="D743" s="43" t="str">
        <f t="shared" si="33"/>
        <v/>
      </c>
      <c r="E743" s="44" t="str">
        <f>IF($C743="","",INDEX(Summary!$J$3:$J$7,MATCH($C743,TaskListLeads,FALSE),1))</f>
        <v/>
      </c>
      <c r="F743" s="50"/>
      <c r="G743" s="45" t="str">
        <f t="shared" si="34"/>
        <v/>
      </c>
      <c r="H743" s="50"/>
      <c r="I743" s="45" t="str">
        <f t="shared" si="35"/>
        <v/>
      </c>
      <c r="J743" s="41"/>
    </row>
    <row r="744" spans="2:10" ht="39.950000000000003" customHeight="1" x14ac:dyDescent="0.25">
      <c r="B744" s="41"/>
      <c r="C744" s="42"/>
      <c r="D744" s="43" t="str">
        <f t="shared" si="33"/>
        <v/>
      </c>
      <c r="E744" s="44" t="str">
        <f>IF($C744="","",INDEX(Summary!$J$3:$J$7,MATCH($C744,TaskListLeads,FALSE),1))</f>
        <v/>
      </c>
      <c r="F744" s="50"/>
      <c r="G744" s="45" t="str">
        <f t="shared" si="34"/>
        <v/>
      </c>
      <c r="H744" s="50"/>
      <c r="I744" s="45" t="str">
        <f t="shared" si="35"/>
        <v/>
      </c>
      <c r="J744" s="41"/>
    </row>
    <row r="745" spans="2:10" ht="39.950000000000003" customHeight="1" x14ac:dyDescent="0.25">
      <c r="B745" s="41"/>
      <c r="C745" s="42"/>
      <c r="D745" s="43" t="str">
        <f t="shared" si="33"/>
        <v/>
      </c>
      <c r="E745" s="44" t="str">
        <f>IF($C745="","",INDEX(Summary!$J$3:$J$7,MATCH($C745,TaskListLeads,FALSE),1))</f>
        <v/>
      </c>
      <c r="F745" s="50"/>
      <c r="G745" s="45" t="str">
        <f t="shared" si="34"/>
        <v/>
      </c>
      <c r="H745" s="50"/>
      <c r="I745" s="45" t="str">
        <f t="shared" si="35"/>
        <v/>
      </c>
      <c r="J745" s="41"/>
    </row>
    <row r="746" spans="2:10" ht="39.950000000000003" customHeight="1" x14ac:dyDescent="0.25">
      <c r="B746" s="41"/>
      <c r="C746" s="42"/>
      <c r="D746" s="43" t="str">
        <f t="shared" si="33"/>
        <v/>
      </c>
      <c r="E746" s="44" t="str">
        <f>IF($C746="","",INDEX(Summary!$J$3:$J$7,MATCH($C746,TaskListLeads,FALSE),1))</f>
        <v/>
      </c>
      <c r="F746" s="50"/>
      <c r="G746" s="45" t="str">
        <f t="shared" si="34"/>
        <v/>
      </c>
      <c r="H746" s="50"/>
      <c r="I746" s="45" t="str">
        <f t="shared" si="35"/>
        <v/>
      </c>
      <c r="J746" s="41"/>
    </row>
    <row r="747" spans="2:10" ht="39.950000000000003" customHeight="1" x14ac:dyDescent="0.25">
      <c r="B747" s="41"/>
      <c r="C747" s="42"/>
      <c r="D747" s="43" t="str">
        <f t="shared" si="33"/>
        <v/>
      </c>
      <c r="E747" s="44" t="str">
        <f>IF($C747="","",INDEX(Summary!$J$3:$J$7,MATCH($C747,TaskListLeads,FALSE),1))</f>
        <v/>
      </c>
      <c r="F747" s="50"/>
      <c r="G747" s="45" t="str">
        <f t="shared" si="34"/>
        <v/>
      </c>
      <c r="H747" s="50"/>
      <c r="I747" s="45" t="str">
        <f t="shared" si="35"/>
        <v/>
      </c>
      <c r="J747" s="41"/>
    </row>
    <row r="748" spans="2:10" ht="39.950000000000003" customHeight="1" x14ac:dyDescent="0.25">
      <c r="B748" s="41"/>
      <c r="C748" s="42"/>
      <c r="D748" s="43" t="str">
        <f t="shared" si="33"/>
        <v/>
      </c>
      <c r="E748" s="44" t="str">
        <f>IF($C748="","",INDEX(Summary!$J$3:$J$7,MATCH($C748,TaskListLeads,FALSE),1))</f>
        <v/>
      </c>
      <c r="F748" s="50"/>
      <c r="G748" s="45" t="str">
        <f t="shared" si="34"/>
        <v/>
      </c>
      <c r="H748" s="50"/>
      <c r="I748" s="45" t="str">
        <f t="shared" si="35"/>
        <v/>
      </c>
      <c r="J748" s="41"/>
    </row>
    <row r="749" spans="2:10" ht="39.950000000000003" customHeight="1" x14ac:dyDescent="0.25">
      <c r="B749" s="41"/>
      <c r="C749" s="42"/>
      <c r="D749" s="43" t="str">
        <f t="shared" si="33"/>
        <v/>
      </c>
      <c r="E749" s="44" t="str">
        <f>IF($C749="","",INDEX(Summary!$J$3:$J$7,MATCH($C749,TaskListLeads,FALSE),1))</f>
        <v/>
      </c>
      <c r="F749" s="50"/>
      <c r="G749" s="45" t="str">
        <f t="shared" si="34"/>
        <v/>
      </c>
      <c r="H749" s="50"/>
      <c r="I749" s="45" t="str">
        <f t="shared" si="35"/>
        <v/>
      </c>
      <c r="J749" s="41"/>
    </row>
    <row r="750" spans="2:10" ht="39.950000000000003" customHeight="1" x14ac:dyDescent="0.25">
      <c r="B750" s="41"/>
      <c r="C750" s="42"/>
      <c r="D750" s="43" t="str">
        <f t="shared" si="33"/>
        <v/>
      </c>
      <c r="E750" s="44" t="str">
        <f>IF($C750="","",INDEX(Summary!$J$3:$J$7,MATCH($C750,TaskListLeads,FALSE),1))</f>
        <v/>
      </c>
      <c r="F750" s="50"/>
      <c r="G750" s="45" t="str">
        <f t="shared" si="34"/>
        <v/>
      </c>
      <c r="H750" s="50"/>
      <c r="I750" s="45" t="str">
        <f t="shared" si="35"/>
        <v/>
      </c>
      <c r="J750" s="41"/>
    </row>
    <row r="751" spans="2:10" ht="39.950000000000003" customHeight="1" x14ac:dyDescent="0.25">
      <c r="B751" s="41"/>
      <c r="C751" s="42"/>
      <c r="D751" s="43" t="str">
        <f t="shared" si="33"/>
        <v/>
      </c>
      <c r="E751" s="44" t="str">
        <f>IF($C751="","",INDEX(Summary!$J$3:$J$7,MATCH($C751,TaskListLeads,FALSE),1))</f>
        <v/>
      </c>
      <c r="F751" s="50"/>
      <c r="G751" s="45" t="str">
        <f t="shared" si="34"/>
        <v/>
      </c>
      <c r="H751" s="50"/>
      <c r="I751" s="45" t="str">
        <f t="shared" si="35"/>
        <v/>
      </c>
      <c r="J751" s="41"/>
    </row>
    <row r="752" spans="2:10" ht="39.950000000000003" customHeight="1" x14ac:dyDescent="0.25">
      <c r="B752" s="41"/>
      <c r="C752" s="42"/>
      <c r="D752" s="43" t="str">
        <f t="shared" si="33"/>
        <v/>
      </c>
      <c r="E752" s="44" t="str">
        <f>IF($C752="","",INDEX(Summary!$J$3:$J$7,MATCH($C752,TaskListLeads,FALSE),1))</f>
        <v/>
      </c>
      <c r="F752" s="50"/>
      <c r="G752" s="45" t="str">
        <f t="shared" si="34"/>
        <v/>
      </c>
      <c r="H752" s="50"/>
      <c r="I752" s="45" t="str">
        <f t="shared" si="35"/>
        <v/>
      </c>
      <c r="J752" s="41"/>
    </row>
    <row r="753" spans="2:10" ht="39.950000000000003" customHeight="1" x14ac:dyDescent="0.25">
      <c r="B753" s="41"/>
      <c r="C753" s="42"/>
      <c r="D753" s="43" t="str">
        <f t="shared" si="33"/>
        <v/>
      </c>
      <c r="E753" s="44" t="str">
        <f>IF($C753="","",INDEX(Summary!$J$3:$J$7,MATCH($C753,TaskListLeads,FALSE),1))</f>
        <v/>
      </c>
      <c r="F753" s="50"/>
      <c r="G753" s="45" t="str">
        <f t="shared" si="34"/>
        <v/>
      </c>
      <c r="H753" s="50"/>
      <c r="I753" s="45" t="str">
        <f t="shared" si="35"/>
        <v/>
      </c>
      <c r="J753" s="41"/>
    </row>
    <row r="754" spans="2:10" ht="39.950000000000003" customHeight="1" x14ac:dyDescent="0.25">
      <c r="B754" s="41"/>
      <c r="C754" s="42"/>
      <c r="D754" s="43" t="str">
        <f t="shared" si="33"/>
        <v/>
      </c>
      <c r="E754" s="44" t="str">
        <f>IF($C754="","",INDEX(Summary!$J$3:$J$7,MATCH($C754,TaskListLeads,FALSE),1))</f>
        <v/>
      </c>
      <c r="F754" s="50"/>
      <c r="G754" s="45" t="str">
        <f t="shared" si="34"/>
        <v/>
      </c>
      <c r="H754" s="50"/>
      <c r="I754" s="45" t="str">
        <f t="shared" si="35"/>
        <v/>
      </c>
      <c r="J754" s="41"/>
    </row>
    <row r="755" spans="2:10" ht="39.950000000000003" customHeight="1" x14ac:dyDescent="0.25">
      <c r="B755" s="41"/>
      <c r="C755" s="42"/>
      <c r="D755" s="43" t="str">
        <f t="shared" si="33"/>
        <v/>
      </c>
      <c r="E755" s="44" t="str">
        <f>IF($C755="","",INDEX(Summary!$J$3:$J$7,MATCH($C755,TaskListLeads,FALSE),1))</f>
        <v/>
      </c>
      <c r="F755" s="50"/>
      <c r="G755" s="45" t="str">
        <f t="shared" si="34"/>
        <v/>
      </c>
      <c r="H755" s="50"/>
      <c r="I755" s="45" t="str">
        <f t="shared" si="35"/>
        <v/>
      </c>
      <c r="J755" s="41"/>
    </row>
    <row r="756" spans="2:10" ht="39.950000000000003" customHeight="1" x14ac:dyDescent="0.25">
      <c r="B756" s="41"/>
      <c r="C756" s="42"/>
      <c r="D756" s="43" t="str">
        <f t="shared" si="33"/>
        <v/>
      </c>
      <c r="E756" s="44" t="str">
        <f>IF($C756="","",INDEX(Summary!$J$3:$J$7,MATCH($C756,TaskListLeads,FALSE),1))</f>
        <v/>
      </c>
      <c r="F756" s="50"/>
      <c r="G756" s="45" t="str">
        <f t="shared" si="34"/>
        <v/>
      </c>
      <c r="H756" s="50"/>
      <c r="I756" s="45" t="str">
        <f t="shared" si="35"/>
        <v/>
      </c>
      <c r="J756" s="41"/>
    </row>
    <row r="757" spans="2:10" ht="39.950000000000003" customHeight="1" x14ac:dyDescent="0.25">
      <c r="B757" s="41"/>
      <c r="C757" s="42"/>
      <c r="D757" s="43" t="str">
        <f t="shared" si="33"/>
        <v/>
      </c>
      <c r="E757" s="44" t="str">
        <f>IF($C757="","",INDEX(Summary!$J$3:$J$7,MATCH($C757,TaskListLeads,FALSE),1))</f>
        <v/>
      </c>
      <c r="F757" s="50"/>
      <c r="G757" s="45" t="str">
        <f t="shared" si="34"/>
        <v/>
      </c>
      <c r="H757" s="50"/>
      <c r="I757" s="45" t="str">
        <f t="shared" si="35"/>
        <v/>
      </c>
      <c r="J757" s="41"/>
    </row>
    <row r="758" spans="2:10" ht="39.950000000000003" customHeight="1" x14ac:dyDescent="0.25">
      <c r="B758" s="41"/>
      <c r="C758" s="42"/>
      <c r="D758" s="43" t="str">
        <f t="shared" si="33"/>
        <v/>
      </c>
      <c r="E758" s="44" t="str">
        <f>IF($C758="","",INDEX(Summary!$J$3:$J$7,MATCH($C758,TaskListLeads,FALSE),1))</f>
        <v/>
      </c>
      <c r="F758" s="50"/>
      <c r="G758" s="45" t="str">
        <f t="shared" si="34"/>
        <v/>
      </c>
      <c r="H758" s="50"/>
      <c r="I758" s="45" t="str">
        <f t="shared" si="35"/>
        <v/>
      </c>
      <c r="J758" s="41"/>
    </row>
    <row r="759" spans="2:10" ht="39.950000000000003" customHeight="1" x14ac:dyDescent="0.25">
      <c r="B759" s="41"/>
      <c r="C759" s="42"/>
      <c r="D759" s="43" t="str">
        <f t="shared" si="33"/>
        <v/>
      </c>
      <c r="E759" s="44" t="str">
        <f>IF($C759="","",INDEX(Summary!$J$3:$J$7,MATCH($C759,TaskListLeads,FALSE),1))</f>
        <v/>
      </c>
      <c r="F759" s="50"/>
      <c r="G759" s="45" t="str">
        <f t="shared" si="34"/>
        <v/>
      </c>
      <c r="H759" s="50"/>
      <c r="I759" s="45" t="str">
        <f t="shared" si="35"/>
        <v/>
      </c>
      <c r="J759" s="41"/>
    </row>
    <row r="760" spans="2:10" ht="39.950000000000003" customHeight="1" x14ac:dyDescent="0.25">
      <c r="B760" s="41"/>
      <c r="C760" s="42"/>
      <c r="D760" s="43" t="str">
        <f t="shared" si="33"/>
        <v/>
      </c>
      <c r="E760" s="44" t="str">
        <f>IF($C760="","",INDEX(Summary!$J$3:$J$7,MATCH($C760,TaskListLeads,FALSE),1))</f>
        <v/>
      </c>
      <c r="F760" s="50"/>
      <c r="G760" s="45" t="str">
        <f t="shared" si="34"/>
        <v/>
      </c>
      <c r="H760" s="50"/>
      <c r="I760" s="45" t="str">
        <f t="shared" si="35"/>
        <v/>
      </c>
      <c r="J760" s="41"/>
    </row>
    <row r="761" spans="2:10" ht="39.950000000000003" customHeight="1" x14ac:dyDescent="0.25">
      <c r="B761" s="41"/>
      <c r="C761" s="42"/>
      <c r="D761" s="43" t="str">
        <f t="shared" si="33"/>
        <v/>
      </c>
      <c r="E761" s="44" t="str">
        <f>IF($C761="","",INDEX(Summary!$J$3:$J$7,MATCH($C761,TaskListLeads,FALSE),1))</f>
        <v/>
      </c>
      <c r="F761" s="50"/>
      <c r="G761" s="45" t="str">
        <f t="shared" si="34"/>
        <v/>
      </c>
      <c r="H761" s="50"/>
      <c r="I761" s="45" t="str">
        <f t="shared" si="35"/>
        <v/>
      </c>
      <c r="J761" s="41"/>
    </row>
    <row r="762" spans="2:10" ht="39.950000000000003" customHeight="1" x14ac:dyDescent="0.25">
      <c r="B762" s="41"/>
      <c r="C762" s="42"/>
      <c r="D762" s="43" t="str">
        <f t="shared" si="33"/>
        <v/>
      </c>
      <c r="E762" s="44" t="str">
        <f>IF($C762="","",INDEX(Summary!$J$3:$J$7,MATCH($C762,TaskListLeads,FALSE),1))</f>
        <v/>
      </c>
      <c r="F762" s="50"/>
      <c r="G762" s="45" t="str">
        <f t="shared" si="34"/>
        <v/>
      </c>
      <c r="H762" s="50"/>
      <c r="I762" s="45" t="str">
        <f t="shared" si="35"/>
        <v/>
      </c>
      <c r="J762" s="41"/>
    </row>
    <row r="763" spans="2:10" ht="39.950000000000003" customHeight="1" x14ac:dyDescent="0.25">
      <c r="B763" s="41"/>
      <c r="C763" s="42"/>
      <c r="D763" s="43" t="str">
        <f t="shared" si="33"/>
        <v/>
      </c>
      <c r="E763" s="44" t="str">
        <f>IF($C763="","",INDEX(Summary!$J$3:$J$7,MATCH($C763,TaskListLeads,FALSE),1))</f>
        <v/>
      </c>
      <c r="F763" s="50"/>
      <c r="G763" s="45" t="str">
        <f t="shared" si="34"/>
        <v/>
      </c>
      <c r="H763" s="50"/>
      <c r="I763" s="45" t="str">
        <f t="shared" si="35"/>
        <v/>
      </c>
      <c r="J763" s="41"/>
    </row>
    <row r="764" spans="2:10" ht="39.950000000000003" customHeight="1" x14ac:dyDescent="0.25">
      <c r="B764" s="41"/>
      <c r="C764" s="42"/>
      <c r="D764" s="43" t="str">
        <f t="shared" si="33"/>
        <v/>
      </c>
      <c r="E764" s="44" t="str">
        <f>IF($C764="","",INDEX(Summary!$J$3:$J$7,MATCH($C764,TaskListLeads,FALSE),1))</f>
        <v/>
      </c>
      <c r="F764" s="50"/>
      <c r="G764" s="45" t="str">
        <f t="shared" si="34"/>
        <v/>
      </c>
      <c r="H764" s="50"/>
      <c r="I764" s="45" t="str">
        <f t="shared" si="35"/>
        <v/>
      </c>
      <c r="J764" s="41"/>
    </row>
    <row r="765" spans="2:10" ht="39.950000000000003" customHeight="1" x14ac:dyDescent="0.25">
      <c r="B765" s="41"/>
      <c r="C765" s="42"/>
      <c r="D765" s="43" t="str">
        <f t="shared" si="33"/>
        <v/>
      </c>
      <c r="E765" s="44" t="str">
        <f>IF($C765="","",INDEX(Summary!$J$3:$J$7,MATCH($C765,TaskListLeads,FALSE),1))</f>
        <v/>
      </c>
      <c r="F765" s="50"/>
      <c r="G765" s="45" t="str">
        <f t="shared" si="34"/>
        <v/>
      </c>
      <c r="H765" s="50"/>
      <c r="I765" s="45" t="str">
        <f t="shared" si="35"/>
        <v/>
      </c>
      <c r="J765" s="41"/>
    </row>
    <row r="766" spans="2:10" ht="39.950000000000003" customHeight="1" x14ac:dyDescent="0.25">
      <c r="B766" s="41"/>
      <c r="C766" s="42"/>
      <c r="D766" s="43" t="str">
        <f t="shared" si="33"/>
        <v/>
      </c>
      <c r="E766" s="44" t="str">
        <f>IF($C766="","",INDEX(Summary!$J$3:$J$7,MATCH($C766,TaskListLeads,FALSE),1))</f>
        <v/>
      </c>
      <c r="F766" s="50"/>
      <c r="G766" s="45" t="str">
        <f t="shared" si="34"/>
        <v/>
      </c>
      <c r="H766" s="50"/>
      <c r="I766" s="45" t="str">
        <f t="shared" si="35"/>
        <v/>
      </c>
      <c r="J766" s="41"/>
    </row>
    <row r="767" spans="2:10" ht="39.950000000000003" customHeight="1" x14ac:dyDescent="0.25">
      <c r="B767" s="41"/>
      <c r="C767" s="42"/>
      <c r="D767" s="43" t="str">
        <f t="shared" si="33"/>
        <v/>
      </c>
      <c r="E767" s="44" t="str">
        <f>IF($C767="","",INDEX(Summary!$J$3:$J$7,MATCH($C767,TaskListLeads,FALSE),1))</f>
        <v/>
      </c>
      <c r="F767" s="50"/>
      <c r="G767" s="45" t="str">
        <f t="shared" si="34"/>
        <v/>
      </c>
      <c r="H767" s="50"/>
      <c r="I767" s="45" t="str">
        <f t="shared" si="35"/>
        <v/>
      </c>
      <c r="J767" s="41"/>
    </row>
    <row r="768" spans="2:10" ht="39.950000000000003" customHeight="1" x14ac:dyDescent="0.25">
      <c r="B768" s="41"/>
      <c r="C768" s="42"/>
      <c r="D768" s="43" t="str">
        <f t="shared" si="33"/>
        <v/>
      </c>
      <c r="E768" s="44" t="str">
        <f>IF($C768="","",INDEX(Summary!$J$3:$J$7,MATCH($C768,TaskListLeads,FALSE),1))</f>
        <v/>
      </c>
      <c r="F768" s="50"/>
      <c r="G768" s="45" t="str">
        <f t="shared" si="34"/>
        <v/>
      </c>
      <c r="H768" s="50"/>
      <c r="I768" s="45" t="str">
        <f t="shared" si="35"/>
        <v/>
      </c>
      <c r="J768" s="41"/>
    </row>
    <row r="769" spans="2:10" ht="39.950000000000003" customHeight="1" x14ac:dyDescent="0.25">
      <c r="B769" s="41"/>
      <c r="C769" s="42"/>
      <c r="D769" s="43" t="str">
        <f t="shared" si="33"/>
        <v/>
      </c>
      <c r="E769" s="44" t="str">
        <f>IF($C769="","",INDEX(Summary!$J$3:$J$7,MATCH($C769,TaskListLeads,FALSE),1))</f>
        <v/>
      </c>
      <c r="F769" s="50"/>
      <c r="G769" s="45" t="str">
        <f t="shared" si="34"/>
        <v/>
      </c>
      <c r="H769" s="50"/>
      <c r="I769" s="45" t="str">
        <f t="shared" si="35"/>
        <v/>
      </c>
      <c r="J769" s="41"/>
    </row>
    <row r="770" spans="2:10" ht="39.950000000000003" customHeight="1" x14ac:dyDescent="0.25">
      <c r="B770" s="41"/>
      <c r="C770" s="42"/>
      <c r="D770" s="43" t="str">
        <f t="shared" si="33"/>
        <v/>
      </c>
      <c r="E770" s="44" t="str">
        <f>IF($C770="","",INDEX(Summary!$J$3:$J$7,MATCH($C770,TaskListLeads,FALSE),1))</f>
        <v/>
      </c>
      <c r="F770" s="50"/>
      <c r="G770" s="45" t="str">
        <f t="shared" si="34"/>
        <v/>
      </c>
      <c r="H770" s="50"/>
      <c r="I770" s="45" t="str">
        <f t="shared" si="35"/>
        <v/>
      </c>
      <c r="J770" s="41"/>
    </row>
    <row r="771" spans="2:10" ht="39.950000000000003" customHeight="1" x14ac:dyDescent="0.25">
      <c r="B771" s="41"/>
      <c r="C771" s="42"/>
      <c r="D771" s="43" t="str">
        <f t="shared" si="33"/>
        <v/>
      </c>
      <c r="E771" s="44" t="str">
        <f>IF($C771="","",INDEX(Summary!$J$3:$J$7,MATCH($C771,TaskListLeads,FALSE),1))</f>
        <v/>
      </c>
      <c r="F771" s="50"/>
      <c r="G771" s="45" t="str">
        <f t="shared" si="34"/>
        <v/>
      </c>
      <c r="H771" s="50"/>
      <c r="I771" s="45" t="str">
        <f t="shared" si="35"/>
        <v/>
      </c>
      <c r="J771" s="41"/>
    </row>
    <row r="772" spans="2:10" ht="39.950000000000003" customHeight="1" x14ac:dyDescent="0.25">
      <c r="B772" s="41"/>
      <c r="C772" s="42"/>
      <c r="D772" s="43" t="str">
        <f t="shared" si="33"/>
        <v/>
      </c>
      <c r="E772" s="44" t="str">
        <f>IF($C772="","",INDEX(Summary!$J$3:$J$7,MATCH($C772,TaskListLeads,FALSE),1))</f>
        <v/>
      </c>
      <c r="F772" s="50"/>
      <c r="G772" s="45" t="str">
        <f t="shared" si="34"/>
        <v/>
      </c>
      <c r="H772" s="50"/>
      <c r="I772" s="45" t="str">
        <f t="shared" si="35"/>
        <v/>
      </c>
      <c r="J772" s="41"/>
    </row>
    <row r="773" spans="2:10" ht="39.950000000000003" customHeight="1" x14ac:dyDescent="0.25">
      <c r="B773" s="41"/>
      <c r="C773" s="42"/>
      <c r="D773" s="43" t="str">
        <f t="shared" si="33"/>
        <v/>
      </c>
      <c r="E773" s="44" t="str">
        <f>IF($C773="","",INDEX(Summary!$J$3:$J$7,MATCH($C773,TaskListLeads,FALSE),1))</f>
        <v/>
      </c>
      <c r="F773" s="50"/>
      <c r="G773" s="45" t="str">
        <f t="shared" si="34"/>
        <v/>
      </c>
      <c r="H773" s="50"/>
      <c r="I773" s="45" t="str">
        <f t="shared" si="35"/>
        <v/>
      </c>
      <c r="J773" s="41"/>
    </row>
    <row r="774" spans="2:10" ht="39.950000000000003" customHeight="1" x14ac:dyDescent="0.25">
      <c r="B774" s="41"/>
      <c r="C774" s="42"/>
      <c r="D774" s="43" t="str">
        <f t="shared" si="33"/>
        <v/>
      </c>
      <c r="E774" s="44" t="str">
        <f>IF($C774="","",INDEX(Summary!$J$3:$J$7,MATCH($C774,TaskListLeads,FALSE),1))</f>
        <v/>
      </c>
      <c r="F774" s="50"/>
      <c r="G774" s="45" t="str">
        <f t="shared" si="34"/>
        <v/>
      </c>
      <c r="H774" s="50"/>
      <c r="I774" s="45" t="str">
        <f t="shared" si="35"/>
        <v/>
      </c>
      <c r="J774" s="41"/>
    </row>
    <row r="775" spans="2:10" ht="39.950000000000003" customHeight="1" x14ac:dyDescent="0.25">
      <c r="B775" s="41"/>
      <c r="C775" s="42"/>
      <c r="D775" s="43" t="str">
        <f t="shared" si="33"/>
        <v/>
      </c>
      <c r="E775" s="44" t="str">
        <f>IF($C775="","",INDEX(Summary!$J$3:$J$7,MATCH($C775,TaskListLeads,FALSE),1))</f>
        <v/>
      </c>
      <c r="F775" s="50"/>
      <c r="G775" s="45" t="str">
        <f t="shared" si="34"/>
        <v/>
      </c>
      <c r="H775" s="50"/>
      <c r="I775" s="45" t="str">
        <f t="shared" si="35"/>
        <v/>
      </c>
      <c r="J775" s="41"/>
    </row>
    <row r="776" spans="2:10" ht="39.950000000000003" customHeight="1" x14ac:dyDescent="0.25">
      <c r="B776" s="41"/>
      <c r="C776" s="42"/>
      <c r="D776" s="43" t="str">
        <f t="shared" si="33"/>
        <v/>
      </c>
      <c r="E776" s="44" t="str">
        <f>IF($C776="","",INDEX(Summary!$J$3:$J$7,MATCH($C776,TaskListLeads,FALSE),1))</f>
        <v/>
      </c>
      <c r="F776" s="50"/>
      <c r="G776" s="45" t="str">
        <f t="shared" si="34"/>
        <v/>
      </c>
      <c r="H776" s="50"/>
      <c r="I776" s="45" t="str">
        <f t="shared" si="35"/>
        <v/>
      </c>
      <c r="J776" s="41"/>
    </row>
    <row r="777" spans="2:10" ht="39.950000000000003" customHeight="1" x14ac:dyDescent="0.25">
      <c r="B777" s="41"/>
      <c r="C777" s="42"/>
      <c r="D777" s="43" t="str">
        <f t="shared" si="33"/>
        <v/>
      </c>
      <c r="E777" s="44" t="str">
        <f>IF($C777="","",INDEX(Summary!$J$3:$J$7,MATCH($C777,TaskListLeads,FALSE),1))</f>
        <v/>
      </c>
      <c r="F777" s="50"/>
      <c r="G777" s="45" t="str">
        <f t="shared" si="34"/>
        <v/>
      </c>
      <c r="H777" s="50"/>
      <c r="I777" s="45" t="str">
        <f t="shared" si="35"/>
        <v/>
      </c>
      <c r="J777" s="41"/>
    </row>
    <row r="778" spans="2:10" ht="39.950000000000003" customHeight="1" x14ac:dyDescent="0.25">
      <c r="B778" s="41"/>
      <c r="C778" s="42"/>
      <c r="D778" s="43" t="str">
        <f t="shared" si="33"/>
        <v/>
      </c>
      <c r="E778" s="44" t="str">
        <f>IF($C778="","",INDEX(Summary!$J$3:$J$7,MATCH($C778,TaskListLeads,FALSE),1))</f>
        <v/>
      </c>
      <c r="F778" s="50"/>
      <c r="G778" s="45" t="str">
        <f t="shared" si="34"/>
        <v/>
      </c>
      <c r="H778" s="50"/>
      <c r="I778" s="45" t="str">
        <f t="shared" si="35"/>
        <v/>
      </c>
      <c r="J778" s="41"/>
    </row>
    <row r="779" spans="2:10" ht="39.950000000000003" customHeight="1" x14ac:dyDescent="0.25">
      <c r="B779" s="41"/>
      <c r="C779" s="42"/>
      <c r="D779" s="43" t="str">
        <f t="shared" ref="D779:D842" si="36">IF($C779="","",INDEX(TaskListCostCentres,MATCH($C779,TaskListLeads,FALSE),1))</f>
        <v/>
      </c>
      <c r="E779" s="44" t="str">
        <f>IF($C779="","",INDEX(Summary!$J$3:$J$7,MATCH($C779,TaskListLeads,FALSE),1))</f>
        <v/>
      </c>
      <c r="F779" s="50"/>
      <c r="G779" s="45" t="str">
        <f t="shared" ref="G779:G842" si="37">IF($F779="","",INDEX(ControlWeeksOf,MATCH($F779,ControlWeeksOf,TRUE),1))</f>
        <v/>
      </c>
      <c r="H779" s="50"/>
      <c r="I779" s="45" t="str">
        <f t="shared" ref="I779:I842" si="38">IF($H779="","",INDEX(ControlWeeksOf,MATCH($H779,ControlWeeksOf,TRUE),1))</f>
        <v/>
      </c>
      <c r="J779" s="41"/>
    </row>
    <row r="780" spans="2:10" ht="39.950000000000003" customHeight="1" x14ac:dyDescent="0.25">
      <c r="B780" s="41"/>
      <c r="C780" s="42"/>
      <c r="D780" s="43" t="str">
        <f t="shared" si="36"/>
        <v/>
      </c>
      <c r="E780" s="44" t="str">
        <f>IF($C780="","",INDEX(Summary!$J$3:$J$7,MATCH($C780,TaskListLeads,FALSE),1))</f>
        <v/>
      </c>
      <c r="F780" s="50"/>
      <c r="G780" s="45" t="str">
        <f t="shared" si="37"/>
        <v/>
      </c>
      <c r="H780" s="50"/>
      <c r="I780" s="45" t="str">
        <f t="shared" si="38"/>
        <v/>
      </c>
      <c r="J780" s="41"/>
    </row>
    <row r="781" spans="2:10" ht="39.950000000000003" customHeight="1" x14ac:dyDescent="0.25">
      <c r="B781" s="41"/>
      <c r="C781" s="42"/>
      <c r="D781" s="43" t="str">
        <f t="shared" si="36"/>
        <v/>
      </c>
      <c r="E781" s="44" t="str">
        <f>IF($C781="","",INDEX(Summary!$J$3:$J$7,MATCH($C781,TaskListLeads,FALSE),1))</f>
        <v/>
      </c>
      <c r="F781" s="50"/>
      <c r="G781" s="45" t="str">
        <f t="shared" si="37"/>
        <v/>
      </c>
      <c r="H781" s="50"/>
      <c r="I781" s="45" t="str">
        <f t="shared" si="38"/>
        <v/>
      </c>
      <c r="J781" s="41"/>
    </row>
    <row r="782" spans="2:10" ht="39.950000000000003" customHeight="1" x14ac:dyDescent="0.25">
      <c r="B782" s="41"/>
      <c r="C782" s="42"/>
      <c r="D782" s="43" t="str">
        <f t="shared" si="36"/>
        <v/>
      </c>
      <c r="E782" s="44" t="str">
        <f>IF($C782="","",INDEX(Summary!$J$3:$J$7,MATCH($C782,TaskListLeads,FALSE),1))</f>
        <v/>
      </c>
      <c r="F782" s="50"/>
      <c r="G782" s="45" t="str">
        <f t="shared" si="37"/>
        <v/>
      </c>
      <c r="H782" s="50"/>
      <c r="I782" s="45" t="str">
        <f t="shared" si="38"/>
        <v/>
      </c>
      <c r="J782" s="41"/>
    </row>
    <row r="783" spans="2:10" ht="39.950000000000003" customHeight="1" x14ac:dyDescent="0.25">
      <c r="B783" s="41"/>
      <c r="C783" s="42"/>
      <c r="D783" s="43" t="str">
        <f t="shared" si="36"/>
        <v/>
      </c>
      <c r="E783" s="44" t="str">
        <f>IF($C783="","",INDEX(Summary!$J$3:$J$7,MATCH($C783,TaskListLeads,FALSE),1))</f>
        <v/>
      </c>
      <c r="F783" s="50"/>
      <c r="G783" s="45" t="str">
        <f t="shared" si="37"/>
        <v/>
      </c>
      <c r="H783" s="50"/>
      <c r="I783" s="45" t="str">
        <f t="shared" si="38"/>
        <v/>
      </c>
      <c r="J783" s="41"/>
    </row>
    <row r="784" spans="2:10" ht="39.950000000000003" customHeight="1" x14ac:dyDescent="0.25">
      <c r="B784" s="41"/>
      <c r="C784" s="42"/>
      <c r="D784" s="43" t="str">
        <f t="shared" si="36"/>
        <v/>
      </c>
      <c r="E784" s="44" t="str">
        <f>IF($C784="","",INDEX(Summary!$J$3:$J$7,MATCH($C784,TaskListLeads,FALSE),1))</f>
        <v/>
      </c>
      <c r="F784" s="50"/>
      <c r="G784" s="45" t="str">
        <f t="shared" si="37"/>
        <v/>
      </c>
      <c r="H784" s="50"/>
      <c r="I784" s="45" t="str">
        <f t="shared" si="38"/>
        <v/>
      </c>
      <c r="J784" s="41"/>
    </row>
    <row r="785" spans="2:10" ht="39.950000000000003" customHeight="1" x14ac:dyDescent="0.25">
      <c r="B785" s="41"/>
      <c r="C785" s="42"/>
      <c r="D785" s="43" t="str">
        <f t="shared" si="36"/>
        <v/>
      </c>
      <c r="E785" s="44" t="str">
        <f>IF($C785="","",INDEX(Summary!$J$3:$J$7,MATCH($C785,TaskListLeads,FALSE),1))</f>
        <v/>
      </c>
      <c r="F785" s="50"/>
      <c r="G785" s="45" t="str">
        <f t="shared" si="37"/>
        <v/>
      </c>
      <c r="H785" s="50"/>
      <c r="I785" s="45" t="str">
        <f t="shared" si="38"/>
        <v/>
      </c>
      <c r="J785" s="41"/>
    </row>
    <row r="786" spans="2:10" ht="39.950000000000003" customHeight="1" x14ac:dyDescent="0.25">
      <c r="B786" s="41"/>
      <c r="C786" s="42"/>
      <c r="D786" s="43" t="str">
        <f t="shared" si="36"/>
        <v/>
      </c>
      <c r="E786" s="44" t="str">
        <f>IF($C786="","",INDEX(Summary!$J$3:$J$7,MATCH($C786,TaskListLeads,FALSE),1))</f>
        <v/>
      </c>
      <c r="F786" s="50"/>
      <c r="G786" s="45" t="str">
        <f t="shared" si="37"/>
        <v/>
      </c>
      <c r="H786" s="50"/>
      <c r="I786" s="45" t="str">
        <f t="shared" si="38"/>
        <v/>
      </c>
      <c r="J786" s="41"/>
    </row>
    <row r="787" spans="2:10" ht="39.950000000000003" customHeight="1" x14ac:dyDescent="0.25">
      <c r="B787" s="41"/>
      <c r="C787" s="42"/>
      <c r="D787" s="43" t="str">
        <f t="shared" si="36"/>
        <v/>
      </c>
      <c r="E787" s="44" t="str">
        <f>IF($C787="","",INDEX(Summary!$J$3:$J$7,MATCH($C787,TaskListLeads,FALSE),1))</f>
        <v/>
      </c>
      <c r="F787" s="50"/>
      <c r="G787" s="45" t="str">
        <f t="shared" si="37"/>
        <v/>
      </c>
      <c r="H787" s="50"/>
      <c r="I787" s="45" t="str">
        <f t="shared" si="38"/>
        <v/>
      </c>
      <c r="J787" s="41"/>
    </row>
    <row r="788" spans="2:10" ht="39.950000000000003" customHeight="1" x14ac:dyDescent="0.25">
      <c r="B788" s="41"/>
      <c r="C788" s="42"/>
      <c r="D788" s="43" t="str">
        <f t="shared" si="36"/>
        <v/>
      </c>
      <c r="E788" s="44" t="str">
        <f>IF($C788="","",INDEX(Summary!$J$3:$J$7,MATCH($C788,TaskListLeads,FALSE),1))</f>
        <v/>
      </c>
      <c r="F788" s="50"/>
      <c r="G788" s="45" t="str">
        <f t="shared" si="37"/>
        <v/>
      </c>
      <c r="H788" s="50"/>
      <c r="I788" s="45" t="str">
        <f t="shared" si="38"/>
        <v/>
      </c>
      <c r="J788" s="41"/>
    </row>
    <row r="789" spans="2:10" ht="39.950000000000003" customHeight="1" x14ac:dyDescent="0.25">
      <c r="B789" s="41"/>
      <c r="C789" s="42"/>
      <c r="D789" s="43" t="str">
        <f t="shared" si="36"/>
        <v/>
      </c>
      <c r="E789" s="44" t="str">
        <f>IF($C789="","",INDEX(Summary!$J$3:$J$7,MATCH($C789,TaskListLeads,FALSE),1))</f>
        <v/>
      </c>
      <c r="F789" s="50"/>
      <c r="G789" s="45" t="str">
        <f t="shared" si="37"/>
        <v/>
      </c>
      <c r="H789" s="50"/>
      <c r="I789" s="45" t="str">
        <f t="shared" si="38"/>
        <v/>
      </c>
      <c r="J789" s="41"/>
    </row>
    <row r="790" spans="2:10" ht="39.950000000000003" customHeight="1" x14ac:dyDescent="0.25">
      <c r="B790" s="41"/>
      <c r="C790" s="42"/>
      <c r="D790" s="43" t="str">
        <f t="shared" si="36"/>
        <v/>
      </c>
      <c r="E790" s="44" t="str">
        <f>IF($C790="","",INDEX(Summary!$J$3:$J$7,MATCH($C790,TaskListLeads,FALSE),1))</f>
        <v/>
      </c>
      <c r="F790" s="50"/>
      <c r="G790" s="45" t="str">
        <f t="shared" si="37"/>
        <v/>
      </c>
      <c r="H790" s="50"/>
      <c r="I790" s="45" t="str">
        <f t="shared" si="38"/>
        <v/>
      </c>
      <c r="J790" s="41"/>
    </row>
    <row r="791" spans="2:10" ht="39.950000000000003" customHeight="1" x14ac:dyDescent="0.25">
      <c r="B791" s="41"/>
      <c r="C791" s="42"/>
      <c r="D791" s="43" t="str">
        <f t="shared" si="36"/>
        <v/>
      </c>
      <c r="E791" s="44" t="str">
        <f>IF($C791="","",INDEX(Summary!$J$3:$J$7,MATCH($C791,TaskListLeads,FALSE),1))</f>
        <v/>
      </c>
      <c r="F791" s="50"/>
      <c r="G791" s="45" t="str">
        <f t="shared" si="37"/>
        <v/>
      </c>
      <c r="H791" s="50"/>
      <c r="I791" s="45" t="str">
        <f t="shared" si="38"/>
        <v/>
      </c>
      <c r="J791" s="41"/>
    </row>
    <row r="792" spans="2:10" ht="39.950000000000003" customHeight="1" x14ac:dyDescent="0.25">
      <c r="B792" s="41"/>
      <c r="C792" s="42"/>
      <c r="D792" s="43" t="str">
        <f t="shared" si="36"/>
        <v/>
      </c>
      <c r="E792" s="44" t="str">
        <f>IF($C792="","",INDEX(Summary!$J$3:$J$7,MATCH($C792,TaskListLeads,FALSE),1))</f>
        <v/>
      </c>
      <c r="F792" s="50"/>
      <c r="G792" s="45" t="str">
        <f t="shared" si="37"/>
        <v/>
      </c>
      <c r="H792" s="50"/>
      <c r="I792" s="45" t="str">
        <f t="shared" si="38"/>
        <v/>
      </c>
      <c r="J792" s="41"/>
    </row>
    <row r="793" spans="2:10" ht="39.950000000000003" customHeight="1" x14ac:dyDescent="0.25">
      <c r="B793" s="41"/>
      <c r="C793" s="42"/>
      <c r="D793" s="43" t="str">
        <f t="shared" si="36"/>
        <v/>
      </c>
      <c r="E793" s="44" t="str">
        <f>IF($C793="","",INDEX(Summary!$J$3:$J$7,MATCH($C793,TaskListLeads,FALSE),1))</f>
        <v/>
      </c>
      <c r="F793" s="50"/>
      <c r="G793" s="45" t="str">
        <f t="shared" si="37"/>
        <v/>
      </c>
      <c r="H793" s="50"/>
      <c r="I793" s="45" t="str">
        <f t="shared" si="38"/>
        <v/>
      </c>
      <c r="J793" s="41"/>
    </row>
    <row r="794" spans="2:10" ht="39.950000000000003" customHeight="1" x14ac:dyDescent="0.25">
      <c r="B794" s="41"/>
      <c r="C794" s="42"/>
      <c r="D794" s="43" t="str">
        <f t="shared" si="36"/>
        <v/>
      </c>
      <c r="E794" s="44" t="str">
        <f>IF($C794="","",INDEX(Summary!$J$3:$J$7,MATCH($C794,TaskListLeads,FALSE),1))</f>
        <v/>
      </c>
      <c r="F794" s="50"/>
      <c r="G794" s="45" t="str">
        <f t="shared" si="37"/>
        <v/>
      </c>
      <c r="H794" s="50"/>
      <c r="I794" s="45" t="str">
        <f t="shared" si="38"/>
        <v/>
      </c>
      <c r="J794" s="41"/>
    </row>
    <row r="795" spans="2:10" ht="39.950000000000003" customHeight="1" x14ac:dyDescent="0.25">
      <c r="B795" s="41"/>
      <c r="C795" s="42"/>
      <c r="D795" s="43" t="str">
        <f t="shared" si="36"/>
        <v/>
      </c>
      <c r="E795" s="44" t="str">
        <f>IF($C795="","",INDEX(Summary!$J$3:$J$7,MATCH($C795,TaskListLeads,FALSE),1))</f>
        <v/>
      </c>
      <c r="F795" s="50"/>
      <c r="G795" s="45" t="str">
        <f t="shared" si="37"/>
        <v/>
      </c>
      <c r="H795" s="50"/>
      <c r="I795" s="45" t="str">
        <f t="shared" si="38"/>
        <v/>
      </c>
      <c r="J795" s="41"/>
    </row>
    <row r="796" spans="2:10" ht="39.950000000000003" customHeight="1" x14ac:dyDescent="0.25">
      <c r="B796" s="41"/>
      <c r="C796" s="42"/>
      <c r="D796" s="43" t="str">
        <f t="shared" si="36"/>
        <v/>
      </c>
      <c r="E796" s="44" t="str">
        <f>IF($C796="","",INDEX(Summary!$J$3:$J$7,MATCH($C796,TaskListLeads,FALSE),1))</f>
        <v/>
      </c>
      <c r="F796" s="50"/>
      <c r="G796" s="45" t="str">
        <f t="shared" si="37"/>
        <v/>
      </c>
      <c r="H796" s="50"/>
      <c r="I796" s="45" t="str">
        <f t="shared" si="38"/>
        <v/>
      </c>
      <c r="J796" s="41"/>
    </row>
    <row r="797" spans="2:10" ht="39.950000000000003" customHeight="1" x14ac:dyDescent="0.25">
      <c r="B797" s="41"/>
      <c r="C797" s="42"/>
      <c r="D797" s="43" t="str">
        <f t="shared" si="36"/>
        <v/>
      </c>
      <c r="E797" s="44" t="str">
        <f>IF($C797="","",INDEX(Summary!$J$3:$J$7,MATCH($C797,TaskListLeads,FALSE),1))</f>
        <v/>
      </c>
      <c r="F797" s="50"/>
      <c r="G797" s="45" t="str">
        <f t="shared" si="37"/>
        <v/>
      </c>
      <c r="H797" s="50"/>
      <c r="I797" s="45" t="str">
        <f t="shared" si="38"/>
        <v/>
      </c>
      <c r="J797" s="41"/>
    </row>
    <row r="798" spans="2:10" ht="39.950000000000003" customHeight="1" x14ac:dyDescent="0.25">
      <c r="B798" s="41"/>
      <c r="C798" s="42"/>
      <c r="D798" s="43" t="str">
        <f t="shared" si="36"/>
        <v/>
      </c>
      <c r="E798" s="44" t="str">
        <f>IF($C798="","",INDEX(Summary!$J$3:$J$7,MATCH($C798,TaskListLeads,FALSE),1))</f>
        <v/>
      </c>
      <c r="F798" s="50"/>
      <c r="G798" s="45" t="str">
        <f t="shared" si="37"/>
        <v/>
      </c>
      <c r="H798" s="50"/>
      <c r="I798" s="45" t="str">
        <f t="shared" si="38"/>
        <v/>
      </c>
      <c r="J798" s="41"/>
    </row>
    <row r="799" spans="2:10" ht="39.950000000000003" customHeight="1" x14ac:dyDescent="0.25">
      <c r="B799" s="41"/>
      <c r="C799" s="42"/>
      <c r="D799" s="43" t="str">
        <f t="shared" si="36"/>
        <v/>
      </c>
      <c r="E799" s="44" t="str">
        <f>IF($C799="","",INDEX(Summary!$J$3:$J$7,MATCH($C799,TaskListLeads,FALSE),1))</f>
        <v/>
      </c>
      <c r="F799" s="50"/>
      <c r="G799" s="45" t="str">
        <f t="shared" si="37"/>
        <v/>
      </c>
      <c r="H799" s="50"/>
      <c r="I799" s="45" t="str">
        <f t="shared" si="38"/>
        <v/>
      </c>
      <c r="J799" s="41"/>
    </row>
    <row r="800" spans="2:10" ht="39.950000000000003" customHeight="1" x14ac:dyDescent="0.25">
      <c r="B800" s="41"/>
      <c r="C800" s="42"/>
      <c r="D800" s="43" t="str">
        <f t="shared" si="36"/>
        <v/>
      </c>
      <c r="E800" s="44" t="str">
        <f>IF($C800="","",INDEX(Summary!$J$3:$J$7,MATCH($C800,TaskListLeads,FALSE),1))</f>
        <v/>
      </c>
      <c r="F800" s="50"/>
      <c r="G800" s="45" t="str">
        <f t="shared" si="37"/>
        <v/>
      </c>
      <c r="H800" s="50"/>
      <c r="I800" s="45" t="str">
        <f t="shared" si="38"/>
        <v/>
      </c>
      <c r="J800" s="41"/>
    </row>
    <row r="801" spans="2:10" ht="39.950000000000003" customHeight="1" x14ac:dyDescent="0.25">
      <c r="B801" s="41"/>
      <c r="C801" s="42"/>
      <c r="D801" s="43" t="str">
        <f t="shared" si="36"/>
        <v/>
      </c>
      <c r="E801" s="44" t="str">
        <f>IF($C801="","",INDEX(Summary!$J$3:$J$7,MATCH($C801,TaskListLeads,FALSE),1))</f>
        <v/>
      </c>
      <c r="F801" s="50"/>
      <c r="G801" s="45" t="str">
        <f t="shared" si="37"/>
        <v/>
      </c>
      <c r="H801" s="50"/>
      <c r="I801" s="45" t="str">
        <f t="shared" si="38"/>
        <v/>
      </c>
      <c r="J801" s="41"/>
    </row>
    <row r="802" spans="2:10" ht="39.950000000000003" customHeight="1" x14ac:dyDescent="0.25">
      <c r="B802" s="41"/>
      <c r="C802" s="42"/>
      <c r="D802" s="43" t="str">
        <f t="shared" si="36"/>
        <v/>
      </c>
      <c r="E802" s="44" t="str">
        <f>IF($C802="","",INDEX(Summary!$J$3:$J$7,MATCH($C802,TaskListLeads,FALSE),1))</f>
        <v/>
      </c>
      <c r="F802" s="50"/>
      <c r="G802" s="45" t="str">
        <f t="shared" si="37"/>
        <v/>
      </c>
      <c r="H802" s="50"/>
      <c r="I802" s="45" t="str">
        <f t="shared" si="38"/>
        <v/>
      </c>
      <c r="J802" s="41"/>
    </row>
    <row r="803" spans="2:10" ht="39.950000000000003" customHeight="1" x14ac:dyDescent="0.25">
      <c r="B803" s="41"/>
      <c r="C803" s="42"/>
      <c r="D803" s="43" t="str">
        <f t="shared" si="36"/>
        <v/>
      </c>
      <c r="E803" s="44" t="str">
        <f>IF($C803="","",INDEX(Summary!$J$3:$J$7,MATCH($C803,TaskListLeads,FALSE),1))</f>
        <v/>
      </c>
      <c r="F803" s="50"/>
      <c r="G803" s="45" t="str">
        <f t="shared" si="37"/>
        <v/>
      </c>
      <c r="H803" s="50"/>
      <c r="I803" s="45" t="str">
        <f t="shared" si="38"/>
        <v/>
      </c>
      <c r="J803" s="41"/>
    </row>
    <row r="804" spans="2:10" ht="39.950000000000003" customHeight="1" x14ac:dyDescent="0.25">
      <c r="B804" s="41"/>
      <c r="C804" s="42"/>
      <c r="D804" s="43" t="str">
        <f t="shared" si="36"/>
        <v/>
      </c>
      <c r="E804" s="44" t="str">
        <f>IF($C804="","",INDEX(Summary!$J$3:$J$7,MATCH($C804,TaskListLeads,FALSE),1))</f>
        <v/>
      </c>
      <c r="F804" s="50"/>
      <c r="G804" s="45" t="str">
        <f t="shared" si="37"/>
        <v/>
      </c>
      <c r="H804" s="50"/>
      <c r="I804" s="45" t="str">
        <f t="shared" si="38"/>
        <v/>
      </c>
      <c r="J804" s="41"/>
    </row>
    <row r="805" spans="2:10" ht="39.950000000000003" customHeight="1" x14ac:dyDescent="0.25">
      <c r="B805" s="41"/>
      <c r="C805" s="42"/>
      <c r="D805" s="43" t="str">
        <f t="shared" si="36"/>
        <v/>
      </c>
      <c r="E805" s="44" t="str">
        <f>IF($C805="","",INDEX(Summary!$J$3:$J$7,MATCH($C805,TaskListLeads,FALSE),1))</f>
        <v/>
      </c>
      <c r="F805" s="50"/>
      <c r="G805" s="45" t="str">
        <f t="shared" si="37"/>
        <v/>
      </c>
      <c r="H805" s="50"/>
      <c r="I805" s="45" t="str">
        <f t="shared" si="38"/>
        <v/>
      </c>
      <c r="J805" s="41"/>
    </row>
    <row r="806" spans="2:10" ht="39.950000000000003" customHeight="1" x14ac:dyDescent="0.25">
      <c r="B806" s="41"/>
      <c r="C806" s="42"/>
      <c r="D806" s="43" t="str">
        <f t="shared" si="36"/>
        <v/>
      </c>
      <c r="E806" s="44" t="str">
        <f>IF($C806="","",INDEX(Summary!$J$3:$J$7,MATCH($C806,TaskListLeads,FALSE),1))</f>
        <v/>
      </c>
      <c r="F806" s="50"/>
      <c r="G806" s="45" t="str">
        <f t="shared" si="37"/>
        <v/>
      </c>
      <c r="H806" s="50"/>
      <c r="I806" s="45" t="str">
        <f t="shared" si="38"/>
        <v/>
      </c>
      <c r="J806" s="41"/>
    </row>
    <row r="807" spans="2:10" ht="39.950000000000003" customHeight="1" x14ac:dyDescent="0.25">
      <c r="B807" s="41"/>
      <c r="C807" s="42"/>
      <c r="D807" s="43" t="str">
        <f t="shared" si="36"/>
        <v/>
      </c>
      <c r="E807" s="44" t="str">
        <f>IF($C807="","",INDEX(Summary!$J$3:$J$7,MATCH($C807,TaskListLeads,FALSE),1))</f>
        <v/>
      </c>
      <c r="F807" s="50"/>
      <c r="G807" s="45" t="str">
        <f t="shared" si="37"/>
        <v/>
      </c>
      <c r="H807" s="50"/>
      <c r="I807" s="45" t="str">
        <f t="shared" si="38"/>
        <v/>
      </c>
      <c r="J807" s="41"/>
    </row>
    <row r="808" spans="2:10" ht="39.950000000000003" customHeight="1" x14ac:dyDescent="0.25">
      <c r="B808" s="41"/>
      <c r="C808" s="42"/>
      <c r="D808" s="43" t="str">
        <f t="shared" si="36"/>
        <v/>
      </c>
      <c r="E808" s="44" t="str">
        <f>IF($C808="","",INDEX(Summary!$J$3:$J$7,MATCH($C808,TaskListLeads,FALSE),1))</f>
        <v/>
      </c>
      <c r="F808" s="50"/>
      <c r="G808" s="45" t="str">
        <f t="shared" si="37"/>
        <v/>
      </c>
      <c r="H808" s="50"/>
      <c r="I808" s="45" t="str">
        <f t="shared" si="38"/>
        <v/>
      </c>
      <c r="J808" s="41"/>
    </row>
    <row r="809" spans="2:10" ht="39.950000000000003" customHeight="1" x14ac:dyDescent="0.25">
      <c r="B809" s="41"/>
      <c r="C809" s="42"/>
      <c r="D809" s="43" t="str">
        <f t="shared" si="36"/>
        <v/>
      </c>
      <c r="E809" s="44" t="str">
        <f>IF($C809="","",INDEX(Summary!$J$3:$J$7,MATCH($C809,TaskListLeads,FALSE),1))</f>
        <v/>
      </c>
      <c r="F809" s="50"/>
      <c r="G809" s="45" t="str">
        <f t="shared" si="37"/>
        <v/>
      </c>
      <c r="H809" s="50"/>
      <c r="I809" s="45" t="str">
        <f t="shared" si="38"/>
        <v/>
      </c>
      <c r="J809" s="41"/>
    </row>
    <row r="810" spans="2:10" ht="39.950000000000003" customHeight="1" x14ac:dyDescent="0.25">
      <c r="B810" s="41"/>
      <c r="C810" s="42"/>
      <c r="D810" s="43" t="str">
        <f t="shared" si="36"/>
        <v/>
      </c>
      <c r="E810" s="44" t="str">
        <f>IF($C810="","",INDEX(Summary!$J$3:$J$7,MATCH($C810,TaskListLeads,FALSE),1))</f>
        <v/>
      </c>
      <c r="F810" s="50"/>
      <c r="G810" s="45" t="str">
        <f t="shared" si="37"/>
        <v/>
      </c>
      <c r="H810" s="50"/>
      <c r="I810" s="45" t="str">
        <f t="shared" si="38"/>
        <v/>
      </c>
      <c r="J810" s="41"/>
    </row>
    <row r="811" spans="2:10" ht="39.950000000000003" customHeight="1" x14ac:dyDescent="0.25">
      <c r="B811" s="41"/>
      <c r="C811" s="42"/>
      <c r="D811" s="43" t="str">
        <f t="shared" si="36"/>
        <v/>
      </c>
      <c r="E811" s="44" t="str">
        <f>IF($C811="","",INDEX(Summary!$J$3:$J$7,MATCH($C811,TaskListLeads,FALSE),1))</f>
        <v/>
      </c>
      <c r="F811" s="50"/>
      <c r="G811" s="45" t="str">
        <f t="shared" si="37"/>
        <v/>
      </c>
      <c r="H811" s="50"/>
      <c r="I811" s="45" t="str">
        <f t="shared" si="38"/>
        <v/>
      </c>
      <c r="J811" s="41"/>
    </row>
    <row r="812" spans="2:10" ht="39.950000000000003" customHeight="1" x14ac:dyDescent="0.25">
      <c r="B812" s="41"/>
      <c r="C812" s="42"/>
      <c r="D812" s="43" t="str">
        <f t="shared" si="36"/>
        <v/>
      </c>
      <c r="E812" s="44" t="str">
        <f>IF($C812="","",INDEX(Summary!$J$3:$J$7,MATCH($C812,TaskListLeads,FALSE),1))</f>
        <v/>
      </c>
      <c r="F812" s="50"/>
      <c r="G812" s="45" t="str">
        <f t="shared" si="37"/>
        <v/>
      </c>
      <c r="H812" s="50"/>
      <c r="I812" s="45" t="str">
        <f t="shared" si="38"/>
        <v/>
      </c>
      <c r="J812" s="41"/>
    </row>
    <row r="813" spans="2:10" ht="39.950000000000003" customHeight="1" x14ac:dyDescent="0.25">
      <c r="B813" s="41"/>
      <c r="C813" s="42"/>
      <c r="D813" s="43" t="str">
        <f t="shared" si="36"/>
        <v/>
      </c>
      <c r="E813" s="44" t="str">
        <f>IF($C813="","",INDEX(Summary!$J$3:$J$7,MATCH($C813,TaskListLeads,FALSE),1))</f>
        <v/>
      </c>
      <c r="F813" s="50"/>
      <c r="G813" s="45" t="str">
        <f t="shared" si="37"/>
        <v/>
      </c>
      <c r="H813" s="50"/>
      <c r="I813" s="45" t="str">
        <f t="shared" si="38"/>
        <v/>
      </c>
      <c r="J813" s="41"/>
    </row>
    <row r="814" spans="2:10" ht="39.950000000000003" customHeight="1" x14ac:dyDescent="0.25">
      <c r="B814" s="41"/>
      <c r="C814" s="42"/>
      <c r="D814" s="43" t="str">
        <f t="shared" si="36"/>
        <v/>
      </c>
      <c r="E814" s="44" t="str">
        <f>IF($C814="","",INDEX(Summary!$J$3:$J$7,MATCH($C814,TaskListLeads,FALSE),1))</f>
        <v/>
      </c>
      <c r="F814" s="50"/>
      <c r="G814" s="45" t="str">
        <f t="shared" si="37"/>
        <v/>
      </c>
      <c r="H814" s="50"/>
      <c r="I814" s="45" t="str">
        <f t="shared" si="38"/>
        <v/>
      </c>
      <c r="J814" s="41"/>
    </row>
    <row r="815" spans="2:10" ht="39.950000000000003" customHeight="1" x14ac:dyDescent="0.25">
      <c r="B815" s="41"/>
      <c r="C815" s="42"/>
      <c r="D815" s="43" t="str">
        <f t="shared" si="36"/>
        <v/>
      </c>
      <c r="E815" s="44" t="str">
        <f>IF($C815="","",INDEX(Summary!$J$3:$J$7,MATCH($C815,TaskListLeads,FALSE),1))</f>
        <v/>
      </c>
      <c r="F815" s="50"/>
      <c r="G815" s="45" t="str">
        <f t="shared" si="37"/>
        <v/>
      </c>
      <c r="H815" s="50"/>
      <c r="I815" s="45" t="str">
        <f t="shared" si="38"/>
        <v/>
      </c>
      <c r="J815" s="41"/>
    </row>
    <row r="816" spans="2:10" ht="39.950000000000003" customHeight="1" x14ac:dyDescent="0.25">
      <c r="B816" s="41"/>
      <c r="C816" s="42"/>
      <c r="D816" s="43" t="str">
        <f t="shared" si="36"/>
        <v/>
      </c>
      <c r="E816" s="44" t="str">
        <f>IF($C816="","",INDEX(Summary!$J$3:$J$7,MATCH($C816,TaskListLeads,FALSE),1))</f>
        <v/>
      </c>
      <c r="F816" s="50"/>
      <c r="G816" s="45" t="str">
        <f t="shared" si="37"/>
        <v/>
      </c>
      <c r="H816" s="50"/>
      <c r="I816" s="45" t="str">
        <f t="shared" si="38"/>
        <v/>
      </c>
      <c r="J816" s="41"/>
    </row>
    <row r="817" spans="2:10" ht="39.950000000000003" customHeight="1" x14ac:dyDescent="0.25">
      <c r="B817" s="41"/>
      <c r="C817" s="42"/>
      <c r="D817" s="43" t="str">
        <f t="shared" si="36"/>
        <v/>
      </c>
      <c r="E817" s="44" t="str">
        <f>IF($C817="","",INDEX(Summary!$J$3:$J$7,MATCH($C817,TaskListLeads,FALSE),1))</f>
        <v/>
      </c>
      <c r="F817" s="50"/>
      <c r="G817" s="45" t="str">
        <f t="shared" si="37"/>
        <v/>
      </c>
      <c r="H817" s="50"/>
      <c r="I817" s="45" t="str">
        <f t="shared" si="38"/>
        <v/>
      </c>
      <c r="J817" s="41"/>
    </row>
    <row r="818" spans="2:10" ht="39.950000000000003" customHeight="1" x14ac:dyDescent="0.25">
      <c r="B818" s="41"/>
      <c r="C818" s="42"/>
      <c r="D818" s="43" t="str">
        <f t="shared" si="36"/>
        <v/>
      </c>
      <c r="E818" s="44" t="str">
        <f>IF($C818="","",INDEX(Summary!$J$3:$J$7,MATCH($C818,TaskListLeads,FALSE),1))</f>
        <v/>
      </c>
      <c r="F818" s="50"/>
      <c r="G818" s="45" t="str">
        <f t="shared" si="37"/>
        <v/>
      </c>
      <c r="H818" s="50"/>
      <c r="I818" s="45" t="str">
        <f t="shared" si="38"/>
        <v/>
      </c>
      <c r="J818" s="41"/>
    </row>
    <row r="819" spans="2:10" ht="39.950000000000003" customHeight="1" x14ac:dyDescent="0.25">
      <c r="B819" s="41"/>
      <c r="C819" s="42"/>
      <c r="D819" s="43" t="str">
        <f t="shared" si="36"/>
        <v/>
      </c>
      <c r="E819" s="44" t="str">
        <f>IF($C819="","",INDEX(Summary!$J$3:$J$7,MATCH($C819,TaskListLeads,FALSE),1))</f>
        <v/>
      </c>
      <c r="F819" s="50"/>
      <c r="G819" s="45" t="str">
        <f t="shared" si="37"/>
        <v/>
      </c>
      <c r="H819" s="50"/>
      <c r="I819" s="45" t="str">
        <f t="shared" si="38"/>
        <v/>
      </c>
      <c r="J819" s="41"/>
    </row>
    <row r="820" spans="2:10" ht="39.950000000000003" customHeight="1" x14ac:dyDescent="0.25">
      <c r="B820" s="41"/>
      <c r="C820" s="42"/>
      <c r="D820" s="43" t="str">
        <f t="shared" si="36"/>
        <v/>
      </c>
      <c r="E820" s="44" t="str">
        <f>IF($C820="","",INDEX(Summary!$J$3:$J$7,MATCH($C820,TaskListLeads,FALSE),1))</f>
        <v/>
      </c>
      <c r="F820" s="50"/>
      <c r="G820" s="45" t="str">
        <f t="shared" si="37"/>
        <v/>
      </c>
      <c r="H820" s="50"/>
      <c r="I820" s="45" t="str">
        <f t="shared" si="38"/>
        <v/>
      </c>
      <c r="J820" s="41"/>
    </row>
    <row r="821" spans="2:10" ht="39.950000000000003" customHeight="1" x14ac:dyDescent="0.25">
      <c r="B821" s="41"/>
      <c r="C821" s="42"/>
      <c r="D821" s="43" t="str">
        <f t="shared" si="36"/>
        <v/>
      </c>
      <c r="E821" s="44" t="str">
        <f>IF($C821="","",INDEX(Summary!$J$3:$J$7,MATCH($C821,TaskListLeads,FALSE),1))</f>
        <v/>
      </c>
      <c r="F821" s="50"/>
      <c r="G821" s="45" t="str">
        <f t="shared" si="37"/>
        <v/>
      </c>
      <c r="H821" s="50"/>
      <c r="I821" s="45" t="str">
        <f t="shared" si="38"/>
        <v/>
      </c>
      <c r="J821" s="41"/>
    </row>
    <row r="822" spans="2:10" ht="39.950000000000003" customHeight="1" x14ac:dyDescent="0.25">
      <c r="B822" s="41"/>
      <c r="C822" s="42"/>
      <c r="D822" s="43" t="str">
        <f t="shared" si="36"/>
        <v/>
      </c>
      <c r="E822" s="44" t="str">
        <f>IF($C822="","",INDEX(Summary!$J$3:$J$7,MATCH($C822,TaskListLeads,FALSE),1))</f>
        <v/>
      </c>
      <c r="F822" s="50"/>
      <c r="G822" s="45" t="str">
        <f t="shared" si="37"/>
        <v/>
      </c>
      <c r="H822" s="50"/>
      <c r="I822" s="45" t="str">
        <f t="shared" si="38"/>
        <v/>
      </c>
      <c r="J822" s="41"/>
    </row>
    <row r="823" spans="2:10" ht="39.950000000000003" customHeight="1" x14ac:dyDescent="0.25">
      <c r="B823" s="41"/>
      <c r="C823" s="42"/>
      <c r="D823" s="43" t="str">
        <f t="shared" si="36"/>
        <v/>
      </c>
      <c r="E823" s="44" t="str">
        <f>IF($C823="","",INDEX(Summary!$J$3:$J$7,MATCH($C823,TaskListLeads,FALSE),1))</f>
        <v/>
      </c>
      <c r="F823" s="50"/>
      <c r="G823" s="45" t="str">
        <f t="shared" si="37"/>
        <v/>
      </c>
      <c r="H823" s="50"/>
      <c r="I823" s="45" t="str">
        <f t="shared" si="38"/>
        <v/>
      </c>
      <c r="J823" s="41"/>
    </row>
    <row r="824" spans="2:10" ht="39.950000000000003" customHeight="1" x14ac:dyDescent="0.25">
      <c r="B824" s="41"/>
      <c r="C824" s="42"/>
      <c r="D824" s="43" t="str">
        <f t="shared" si="36"/>
        <v/>
      </c>
      <c r="E824" s="44" t="str">
        <f>IF($C824="","",INDEX(Summary!$J$3:$J$7,MATCH($C824,TaskListLeads,FALSE),1))</f>
        <v/>
      </c>
      <c r="F824" s="50"/>
      <c r="G824" s="45" t="str">
        <f t="shared" si="37"/>
        <v/>
      </c>
      <c r="H824" s="50"/>
      <c r="I824" s="45" t="str">
        <f t="shared" si="38"/>
        <v/>
      </c>
      <c r="J824" s="41"/>
    </row>
    <row r="825" spans="2:10" ht="39.950000000000003" customHeight="1" x14ac:dyDescent="0.25">
      <c r="B825" s="41"/>
      <c r="C825" s="42"/>
      <c r="D825" s="43" t="str">
        <f t="shared" si="36"/>
        <v/>
      </c>
      <c r="E825" s="44" t="str">
        <f>IF($C825="","",INDEX(Summary!$J$3:$J$7,MATCH($C825,TaskListLeads,FALSE),1))</f>
        <v/>
      </c>
      <c r="F825" s="50"/>
      <c r="G825" s="45" t="str">
        <f t="shared" si="37"/>
        <v/>
      </c>
      <c r="H825" s="50"/>
      <c r="I825" s="45" t="str">
        <f t="shared" si="38"/>
        <v/>
      </c>
      <c r="J825" s="41"/>
    </row>
    <row r="826" spans="2:10" ht="39.950000000000003" customHeight="1" x14ac:dyDescent="0.25">
      <c r="B826" s="41"/>
      <c r="C826" s="42"/>
      <c r="D826" s="43" t="str">
        <f t="shared" si="36"/>
        <v/>
      </c>
      <c r="E826" s="44" t="str">
        <f>IF($C826="","",INDEX(Summary!$J$3:$J$7,MATCH($C826,TaskListLeads,FALSE),1))</f>
        <v/>
      </c>
      <c r="F826" s="50"/>
      <c r="G826" s="45" t="str">
        <f t="shared" si="37"/>
        <v/>
      </c>
      <c r="H826" s="50"/>
      <c r="I826" s="45" t="str">
        <f t="shared" si="38"/>
        <v/>
      </c>
      <c r="J826" s="41"/>
    </row>
    <row r="827" spans="2:10" ht="39.950000000000003" customHeight="1" x14ac:dyDescent="0.25">
      <c r="B827" s="41"/>
      <c r="C827" s="42"/>
      <c r="D827" s="43" t="str">
        <f t="shared" si="36"/>
        <v/>
      </c>
      <c r="E827" s="44" t="str">
        <f>IF($C827="","",INDEX(Summary!$J$3:$J$7,MATCH($C827,TaskListLeads,FALSE),1))</f>
        <v/>
      </c>
      <c r="F827" s="50"/>
      <c r="G827" s="45" t="str">
        <f t="shared" si="37"/>
        <v/>
      </c>
      <c r="H827" s="50"/>
      <c r="I827" s="45" t="str">
        <f t="shared" si="38"/>
        <v/>
      </c>
      <c r="J827" s="41"/>
    </row>
    <row r="828" spans="2:10" ht="39.950000000000003" customHeight="1" x14ac:dyDescent="0.25">
      <c r="B828" s="41"/>
      <c r="C828" s="42"/>
      <c r="D828" s="43" t="str">
        <f t="shared" si="36"/>
        <v/>
      </c>
      <c r="E828" s="44" t="str">
        <f>IF($C828="","",INDEX(Summary!$J$3:$J$7,MATCH($C828,TaskListLeads,FALSE),1))</f>
        <v/>
      </c>
      <c r="F828" s="50"/>
      <c r="G828" s="45" t="str">
        <f t="shared" si="37"/>
        <v/>
      </c>
      <c r="H828" s="50"/>
      <c r="I828" s="45" t="str">
        <f t="shared" si="38"/>
        <v/>
      </c>
      <c r="J828" s="41"/>
    </row>
    <row r="829" spans="2:10" ht="39.950000000000003" customHeight="1" x14ac:dyDescent="0.25">
      <c r="B829" s="41"/>
      <c r="C829" s="42"/>
      <c r="D829" s="43" t="str">
        <f t="shared" si="36"/>
        <v/>
      </c>
      <c r="E829" s="44" t="str">
        <f>IF($C829="","",INDEX(Summary!$J$3:$J$7,MATCH($C829,TaskListLeads,FALSE),1))</f>
        <v/>
      </c>
      <c r="F829" s="50"/>
      <c r="G829" s="45" t="str">
        <f t="shared" si="37"/>
        <v/>
      </c>
      <c r="H829" s="50"/>
      <c r="I829" s="45" t="str">
        <f t="shared" si="38"/>
        <v/>
      </c>
      <c r="J829" s="41"/>
    </row>
    <row r="830" spans="2:10" ht="39.950000000000003" customHeight="1" x14ac:dyDescent="0.25">
      <c r="B830" s="41"/>
      <c r="C830" s="42"/>
      <c r="D830" s="43" t="str">
        <f t="shared" si="36"/>
        <v/>
      </c>
      <c r="E830" s="44" t="str">
        <f>IF($C830="","",INDEX(Summary!$J$3:$J$7,MATCH($C830,TaskListLeads,FALSE),1))</f>
        <v/>
      </c>
      <c r="F830" s="50"/>
      <c r="G830" s="45" t="str">
        <f t="shared" si="37"/>
        <v/>
      </c>
      <c r="H830" s="50"/>
      <c r="I830" s="45" t="str">
        <f t="shared" si="38"/>
        <v/>
      </c>
      <c r="J830" s="41"/>
    </row>
    <row r="831" spans="2:10" ht="39.950000000000003" customHeight="1" x14ac:dyDescent="0.25">
      <c r="B831" s="41"/>
      <c r="C831" s="42"/>
      <c r="D831" s="43" t="str">
        <f t="shared" si="36"/>
        <v/>
      </c>
      <c r="E831" s="44" t="str">
        <f>IF($C831="","",INDEX(Summary!$J$3:$J$7,MATCH($C831,TaskListLeads,FALSE),1))</f>
        <v/>
      </c>
      <c r="F831" s="50"/>
      <c r="G831" s="45" t="str">
        <f t="shared" si="37"/>
        <v/>
      </c>
      <c r="H831" s="50"/>
      <c r="I831" s="45" t="str">
        <f t="shared" si="38"/>
        <v/>
      </c>
      <c r="J831" s="41"/>
    </row>
    <row r="832" spans="2:10" ht="39.950000000000003" customHeight="1" x14ac:dyDescent="0.25">
      <c r="B832" s="41"/>
      <c r="C832" s="42"/>
      <c r="D832" s="43" t="str">
        <f t="shared" si="36"/>
        <v/>
      </c>
      <c r="E832" s="44" t="str">
        <f>IF($C832="","",INDEX(Summary!$J$3:$J$7,MATCH($C832,TaskListLeads,FALSE),1))</f>
        <v/>
      </c>
      <c r="F832" s="50"/>
      <c r="G832" s="45" t="str">
        <f t="shared" si="37"/>
        <v/>
      </c>
      <c r="H832" s="50"/>
      <c r="I832" s="45" t="str">
        <f t="shared" si="38"/>
        <v/>
      </c>
      <c r="J832" s="41"/>
    </row>
    <row r="833" spans="2:10" ht="39.950000000000003" customHeight="1" x14ac:dyDescent="0.25">
      <c r="B833" s="41"/>
      <c r="C833" s="42"/>
      <c r="D833" s="43" t="str">
        <f t="shared" si="36"/>
        <v/>
      </c>
      <c r="E833" s="44" t="str">
        <f>IF($C833="","",INDEX(Summary!$J$3:$J$7,MATCH($C833,TaskListLeads,FALSE),1))</f>
        <v/>
      </c>
      <c r="F833" s="50"/>
      <c r="G833" s="45" t="str">
        <f t="shared" si="37"/>
        <v/>
      </c>
      <c r="H833" s="50"/>
      <c r="I833" s="45" t="str">
        <f t="shared" si="38"/>
        <v/>
      </c>
      <c r="J833" s="41"/>
    </row>
    <row r="834" spans="2:10" ht="39.950000000000003" customHeight="1" x14ac:dyDescent="0.25">
      <c r="B834" s="41"/>
      <c r="C834" s="42"/>
      <c r="D834" s="43" t="str">
        <f t="shared" si="36"/>
        <v/>
      </c>
      <c r="E834" s="44" t="str">
        <f>IF($C834="","",INDEX(Summary!$J$3:$J$7,MATCH($C834,TaskListLeads,FALSE),1))</f>
        <v/>
      </c>
      <c r="F834" s="50"/>
      <c r="G834" s="45" t="str">
        <f t="shared" si="37"/>
        <v/>
      </c>
      <c r="H834" s="50"/>
      <c r="I834" s="45" t="str">
        <f t="shared" si="38"/>
        <v/>
      </c>
      <c r="J834" s="41"/>
    </row>
    <row r="835" spans="2:10" ht="39.950000000000003" customHeight="1" x14ac:dyDescent="0.25">
      <c r="B835" s="41"/>
      <c r="C835" s="42"/>
      <c r="D835" s="43" t="str">
        <f t="shared" si="36"/>
        <v/>
      </c>
      <c r="E835" s="44" t="str">
        <f>IF($C835="","",INDEX(Summary!$J$3:$J$7,MATCH($C835,TaskListLeads,FALSE),1))</f>
        <v/>
      </c>
      <c r="F835" s="50"/>
      <c r="G835" s="45" t="str">
        <f t="shared" si="37"/>
        <v/>
      </c>
      <c r="H835" s="50"/>
      <c r="I835" s="45" t="str">
        <f t="shared" si="38"/>
        <v/>
      </c>
      <c r="J835" s="41"/>
    </row>
    <row r="836" spans="2:10" ht="39.950000000000003" customHeight="1" x14ac:dyDescent="0.25">
      <c r="B836" s="41"/>
      <c r="C836" s="42"/>
      <c r="D836" s="43" t="str">
        <f t="shared" si="36"/>
        <v/>
      </c>
      <c r="E836" s="44" t="str">
        <f>IF($C836="","",INDEX(Summary!$J$3:$J$7,MATCH($C836,TaskListLeads,FALSE),1))</f>
        <v/>
      </c>
      <c r="F836" s="50"/>
      <c r="G836" s="45" t="str">
        <f t="shared" si="37"/>
        <v/>
      </c>
      <c r="H836" s="50"/>
      <c r="I836" s="45" t="str">
        <f t="shared" si="38"/>
        <v/>
      </c>
      <c r="J836" s="41"/>
    </row>
    <row r="837" spans="2:10" ht="39.950000000000003" customHeight="1" x14ac:dyDescent="0.25">
      <c r="B837" s="41"/>
      <c r="C837" s="42"/>
      <c r="D837" s="43" t="str">
        <f t="shared" si="36"/>
        <v/>
      </c>
      <c r="E837" s="44" t="str">
        <f>IF($C837="","",INDEX(Summary!$J$3:$J$7,MATCH($C837,TaskListLeads,FALSE),1))</f>
        <v/>
      </c>
      <c r="F837" s="50"/>
      <c r="G837" s="45" t="str">
        <f t="shared" si="37"/>
        <v/>
      </c>
      <c r="H837" s="50"/>
      <c r="I837" s="45" t="str">
        <f t="shared" si="38"/>
        <v/>
      </c>
      <c r="J837" s="41"/>
    </row>
    <row r="838" spans="2:10" ht="39.950000000000003" customHeight="1" x14ac:dyDescent="0.25">
      <c r="B838" s="41"/>
      <c r="C838" s="42"/>
      <c r="D838" s="43" t="str">
        <f t="shared" si="36"/>
        <v/>
      </c>
      <c r="E838" s="44" t="str">
        <f>IF($C838="","",INDEX(Summary!$J$3:$J$7,MATCH($C838,TaskListLeads,FALSE),1))</f>
        <v/>
      </c>
      <c r="F838" s="50"/>
      <c r="G838" s="45" t="str">
        <f t="shared" si="37"/>
        <v/>
      </c>
      <c r="H838" s="50"/>
      <c r="I838" s="45" t="str">
        <f t="shared" si="38"/>
        <v/>
      </c>
      <c r="J838" s="41"/>
    </row>
    <row r="839" spans="2:10" ht="39.950000000000003" customHeight="1" x14ac:dyDescent="0.25">
      <c r="B839" s="41"/>
      <c r="C839" s="42"/>
      <c r="D839" s="43" t="str">
        <f t="shared" si="36"/>
        <v/>
      </c>
      <c r="E839" s="44" t="str">
        <f>IF($C839="","",INDEX(Summary!$J$3:$J$7,MATCH($C839,TaskListLeads,FALSE),1))</f>
        <v/>
      </c>
      <c r="F839" s="50"/>
      <c r="G839" s="45" t="str">
        <f t="shared" si="37"/>
        <v/>
      </c>
      <c r="H839" s="50"/>
      <c r="I839" s="45" t="str">
        <f t="shared" si="38"/>
        <v/>
      </c>
      <c r="J839" s="41"/>
    </row>
    <row r="840" spans="2:10" ht="39.950000000000003" customHeight="1" x14ac:dyDescent="0.25">
      <c r="B840" s="41"/>
      <c r="C840" s="42"/>
      <c r="D840" s="43" t="str">
        <f t="shared" si="36"/>
        <v/>
      </c>
      <c r="E840" s="44" t="str">
        <f>IF($C840="","",INDEX(Summary!$J$3:$J$7,MATCH($C840,TaskListLeads,FALSE),1))</f>
        <v/>
      </c>
      <c r="F840" s="50"/>
      <c r="G840" s="45" t="str">
        <f t="shared" si="37"/>
        <v/>
      </c>
      <c r="H840" s="50"/>
      <c r="I840" s="45" t="str">
        <f t="shared" si="38"/>
        <v/>
      </c>
      <c r="J840" s="41"/>
    </row>
    <row r="841" spans="2:10" ht="39.950000000000003" customHeight="1" x14ac:dyDescent="0.25">
      <c r="B841" s="41"/>
      <c r="C841" s="42"/>
      <c r="D841" s="43" t="str">
        <f t="shared" si="36"/>
        <v/>
      </c>
      <c r="E841" s="44" t="str">
        <f>IF($C841="","",INDEX(Summary!$J$3:$J$7,MATCH($C841,TaskListLeads,FALSE),1))</f>
        <v/>
      </c>
      <c r="F841" s="50"/>
      <c r="G841" s="45" t="str">
        <f t="shared" si="37"/>
        <v/>
      </c>
      <c r="H841" s="50"/>
      <c r="I841" s="45" t="str">
        <f t="shared" si="38"/>
        <v/>
      </c>
      <c r="J841" s="41"/>
    </row>
    <row r="842" spans="2:10" ht="39.950000000000003" customHeight="1" x14ac:dyDescent="0.25">
      <c r="B842" s="41"/>
      <c r="C842" s="42"/>
      <c r="D842" s="43" t="str">
        <f t="shared" si="36"/>
        <v/>
      </c>
      <c r="E842" s="44" t="str">
        <f>IF($C842="","",INDEX(Summary!$J$3:$J$7,MATCH($C842,TaskListLeads,FALSE),1))</f>
        <v/>
      </c>
      <c r="F842" s="50"/>
      <c r="G842" s="45" t="str">
        <f t="shared" si="37"/>
        <v/>
      </c>
      <c r="H842" s="50"/>
      <c r="I842" s="45" t="str">
        <f t="shared" si="38"/>
        <v/>
      </c>
      <c r="J842" s="41"/>
    </row>
    <row r="843" spans="2:10" ht="39.950000000000003" customHeight="1" x14ac:dyDescent="0.25">
      <c r="B843" s="41"/>
      <c r="C843" s="42"/>
      <c r="D843" s="43" t="str">
        <f t="shared" ref="D843:D906" si="39">IF($C843="","",INDEX(TaskListCostCentres,MATCH($C843,TaskListLeads,FALSE),1))</f>
        <v/>
      </c>
      <c r="E843" s="44" t="str">
        <f>IF($C843="","",INDEX(Summary!$J$3:$J$7,MATCH($C843,TaskListLeads,FALSE),1))</f>
        <v/>
      </c>
      <c r="F843" s="50"/>
      <c r="G843" s="45" t="str">
        <f t="shared" ref="G843:G906" si="40">IF($F843="","",INDEX(ControlWeeksOf,MATCH($F843,ControlWeeksOf,TRUE),1))</f>
        <v/>
      </c>
      <c r="H843" s="50"/>
      <c r="I843" s="45" t="str">
        <f t="shared" ref="I843:I906" si="41">IF($H843="","",INDEX(ControlWeeksOf,MATCH($H843,ControlWeeksOf,TRUE),1))</f>
        <v/>
      </c>
      <c r="J843" s="41"/>
    </row>
    <row r="844" spans="2:10" ht="39.950000000000003" customHeight="1" x14ac:dyDescent="0.25">
      <c r="B844" s="41"/>
      <c r="C844" s="42"/>
      <c r="D844" s="43" t="str">
        <f t="shared" si="39"/>
        <v/>
      </c>
      <c r="E844" s="44" t="str">
        <f>IF($C844="","",INDEX(Summary!$J$3:$J$7,MATCH($C844,TaskListLeads,FALSE),1))</f>
        <v/>
      </c>
      <c r="F844" s="50"/>
      <c r="G844" s="45" t="str">
        <f t="shared" si="40"/>
        <v/>
      </c>
      <c r="H844" s="50"/>
      <c r="I844" s="45" t="str">
        <f t="shared" si="41"/>
        <v/>
      </c>
      <c r="J844" s="41"/>
    </row>
    <row r="845" spans="2:10" ht="39.950000000000003" customHeight="1" x14ac:dyDescent="0.25">
      <c r="B845" s="41"/>
      <c r="C845" s="42"/>
      <c r="D845" s="43" t="str">
        <f t="shared" si="39"/>
        <v/>
      </c>
      <c r="E845" s="44" t="str">
        <f>IF($C845="","",INDEX(Summary!$J$3:$J$7,MATCH($C845,TaskListLeads,FALSE),1))</f>
        <v/>
      </c>
      <c r="F845" s="50"/>
      <c r="G845" s="45" t="str">
        <f t="shared" si="40"/>
        <v/>
      </c>
      <c r="H845" s="50"/>
      <c r="I845" s="45" t="str">
        <f t="shared" si="41"/>
        <v/>
      </c>
      <c r="J845" s="41"/>
    </row>
    <row r="846" spans="2:10" ht="39.950000000000003" customHeight="1" x14ac:dyDescent="0.25">
      <c r="B846" s="41"/>
      <c r="C846" s="42"/>
      <c r="D846" s="43" t="str">
        <f t="shared" si="39"/>
        <v/>
      </c>
      <c r="E846" s="44" t="str">
        <f>IF($C846="","",INDEX(Summary!$J$3:$J$7,MATCH($C846,TaskListLeads,FALSE),1))</f>
        <v/>
      </c>
      <c r="F846" s="50"/>
      <c r="G846" s="45" t="str">
        <f t="shared" si="40"/>
        <v/>
      </c>
      <c r="H846" s="50"/>
      <c r="I846" s="45" t="str">
        <f t="shared" si="41"/>
        <v/>
      </c>
      <c r="J846" s="41"/>
    </row>
    <row r="847" spans="2:10" ht="39.950000000000003" customHeight="1" x14ac:dyDescent="0.25">
      <c r="B847" s="41"/>
      <c r="C847" s="42"/>
      <c r="D847" s="43" t="str">
        <f t="shared" si="39"/>
        <v/>
      </c>
      <c r="E847" s="44" t="str">
        <f>IF($C847="","",INDEX(Summary!$J$3:$J$7,MATCH($C847,TaskListLeads,FALSE),1))</f>
        <v/>
      </c>
      <c r="F847" s="50"/>
      <c r="G847" s="45" t="str">
        <f t="shared" si="40"/>
        <v/>
      </c>
      <c r="H847" s="50"/>
      <c r="I847" s="45" t="str">
        <f t="shared" si="41"/>
        <v/>
      </c>
      <c r="J847" s="41"/>
    </row>
    <row r="848" spans="2:10" ht="39.950000000000003" customHeight="1" x14ac:dyDescent="0.25">
      <c r="B848" s="41"/>
      <c r="C848" s="42"/>
      <c r="D848" s="43" t="str">
        <f t="shared" si="39"/>
        <v/>
      </c>
      <c r="E848" s="44" t="str">
        <f>IF($C848="","",INDEX(Summary!$J$3:$J$7,MATCH($C848,TaskListLeads,FALSE),1))</f>
        <v/>
      </c>
      <c r="F848" s="50"/>
      <c r="G848" s="45" t="str">
        <f t="shared" si="40"/>
        <v/>
      </c>
      <c r="H848" s="50"/>
      <c r="I848" s="45" t="str">
        <f t="shared" si="41"/>
        <v/>
      </c>
      <c r="J848" s="41"/>
    </row>
    <row r="849" spans="2:10" ht="39.950000000000003" customHeight="1" x14ac:dyDescent="0.25">
      <c r="B849" s="41"/>
      <c r="C849" s="42"/>
      <c r="D849" s="43" t="str">
        <f t="shared" si="39"/>
        <v/>
      </c>
      <c r="E849" s="44" t="str">
        <f>IF($C849="","",INDEX(Summary!$J$3:$J$7,MATCH($C849,TaskListLeads,FALSE),1))</f>
        <v/>
      </c>
      <c r="F849" s="50"/>
      <c r="G849" s="45" t="str">
        <f t="shared" si="40"/>
        <v/>
      </c>
      <c r="H849" s="50"/>
      <c r="I849" s="45" t="str">
        <f t="shared" si="41"/>
        <v/>
      </c>
      <c r="J849" s="41"/>
    </row>
    <row r="850" spans="2:10" ht="39.950000000000003" customHeight="1" x14ac:dyDescent="0.25">
      <c r="B850" s="41"/>
      <c r="C850" s="42"/>
      <c r="D850" s="43" t="str">
        <f t="shared" si="39"/>
        <v/>
      </c>
      <c r="E850" s="44" t="str">
        <f>IF($C850="","",INDEX(Summary!$J$3:$J$7,MATCH($C850,TaskListLeads,FALSE),1))</f>
        <v/>
      </c>
      <c r="F850" s="50"/>
      <c r="G850" s="45" t="str">
        <f t="shared" si="40"/>
        <v/>
      </c>
      <c r="H850" s="50"/>
      <c r="I850" s="45" t="str">
        <f t="shared" si="41"/>
        <v/>
      </c>
      <c r="J850" s="41"/>
    </row>
    <row r="851" spans="2:10" ht="39.950000000000003" customHeight="1" x14ac:dyDescent="0.25">
      <c r="B851" s="41"/>
      <c r="C851" s="42"/>
      <c r="D851" s="43" t="str">
        <f t="shared" si="39"/>
        <v/>
      </c>
      <c r="E851" s="44" t="str">
        <f>IF($C851="","",INDEX(Summary!$J$3:$J$7,MATCH($C851,TaskListLeads,FALSE),1))</f>
        <v/>
      </c>
      <c r="F851" s="50"/>
      <c r="G851" s="45" t="str">
        <f t="shared" si="40"/>
        <v/>
      </c>
      <c r="H851" s="50"/>
      <c r="I851" s="45" t="str">
        <f t="shared" si="41"/>
        <v/>
      </c>
      <c r="J851" s="41"/>
    </row>
    <row r="852" spans="2:10" ht="39.950000000000003" customHeight="1" x14ac:dyDescent="0.25">
      <c r="B852" s="41"/>
      <c r="C852" s="42"/>
      <c r="D852" s="43" t="str">
        <f t="shared" si="39"/>
        <v/>
      </c>
      <c r="E852" s="44" t="str">
        <f>IF($C852="","",INDEX(Summary!$J$3:$J$7,MATCH($C852,TaskListLeads,FALSE),1))</f>
        <v/>
      </c>
      <c r="F852" s="50"/>
      <c r="G852" s="45" t="str">
        <f t="shared" si="40"/>
        <v/>
      </c>
      <c r="H852" s="50"/>
      <c r="I852" s="45" t="str">
        <f t="shared" si="41"/>
        <v/>
      </c>
      <c r="J852" s="41"/>
    </row>
    <row r="853" spans="2:10" ht="39.950000000000003" customHeight="1" x14ac:dyDescent="0.25">
      <c r="B853" s="41"/>
      <c r="C853" s="42"/>
      <c r="D853" s="43" t="str">
        <f t="shared" si="39"/>
        <v/>
      </c>
      <c r="E853" s="44" t="str">
        <f>IF($C853="","",INDEX(Summary!$J$3:$J$7,MATCH($C853,TaskListLeads,FALSE),1))</f>
        <v/>
      </c>
      <c r="F853" s="50"/>
      <c r="G853" s="45" t="str">
        <f t="shared" si="40"/>
        <v/>
      </c>
      <c r="H853" s="50"/>
      <c r="I853" s="45" t="str">
        <f t="shared" si="41"/>
        <v/>
      </c>
      <c r="J853" s="41"/>
    </row>
    <row r="854" spans="2:10" ht="39.950000000000003" customHeight="1" x14ac:dyDescent="0.25">
      <c r="B854" s="41"/>
      <c r="C854" s="42"/>
      <c r="D854" s="43" t="str">
        <f t="shared" si="39"/>
        <v/>
      </c>
      <c r="E854" s="44" t="str">
        <f>IF($C854="","",INDEX(Summary!$J$3:$J$7,MATCH($C854,TaskListLeads,FALSE),1))</f>
        <v/>
      </c>
      <c r="F854" s="50"/>
      <c r="G854" s="45" t="str">
        <f t="shared" si="40"/>
        <v/>
      </c>
      <c r="H854" s="50"/>
      <c r="I854" s="45" t="str">
        <f t="shared" si="41"/>
        <v/>
      </c>
      <c r="J854" s="41"/>
    </row>
    <row r="855" spans="2:10" ht="39.950000000000003" customHeight="1" x14ac:dyDescent="0.25">
      <c r="B855" s="41"/>
      <c r="C855" s="42"/>
      <c r="D855" s="43" t="str">
        <f t="shared" si="39"/>
        <v/>
      </c>
      <c r="E855" s="44" t="str">
        <f>IF($C855="","",INDEX(Summary!$J$3:$J$7,MATCH($C855,TaskListLeads,FALSE),1))</f>
        <v/>
      </c>
      <c r="F855" s="50"/>
      <c r="G855" s="45" t="str">
        <f t="shared" si="40"/>
        <v/>
      </c>
      <c r="H855" s="50"/>
      <c r="I855" s="45" t="str">
        <f t="shared" si="41"/>
        <v/>
      </c>
      <c r="J855" s="41"/>
    </row>
    <row r="856" spans="2:10" ht="39.950000000000003" customHeight="1" x14ac:dyDescent="0.25">
      <c r="B856" s="41"/>
      <c r="C856" s="42"/>
      <c r="D856" s="43" t="str">
        <f t="shared" si="39"/>
        <v/>
      </c>
      <c r="E856" s="44" t="str">
        <f>IF($C856="","",INDEX(Summary!$J$3:$J$7,MATCH($C856,TaskListLeads,FALSE),1))</f>
        <v/>
      </c>
      <c r="F856" s="50"/>
      <c r="G856" s="45" t="str">
        <f t="shared" si="40"/>
        <v/>
      </c>
      <c r="H856" s="50"/>
      <c r="I856" s="45" t="str">
        <f t="shared" si="41"/>
        <v/>
      </c>
      <c r="J856" s="41"/>
    </row>
    <row r="857" spans="2:10" ht="39.950000000000003" customHeight="1" x14ac:dyDescent="0.25">
      <c r="B857" s="41"/>
      <c r="C857" s="42"/>
      <c r="D857" s="43" t="str">
        <f t="shared" si="39"/>
        <v/>
      </c>
      <c r="E857" s="44" t="str">
        <f>IF($C857="","",INDEX(Summary!$J$3:$J$7,MATCH($C857,TaskListLeads,FALSE),1))</f>
        <v/>
      </c>
      <c r="F857" s="50"/>
      <c r="G857" s="45" t="str">
        <f t="shared" si="40"/>
        <v/>
      </c>
      <c r="H857" s="50"/>
      <c r="I857" s="45" t="str">
        <f t="shared" si="41"/>
        <v/>
      </c>
      <c r="J857" s="41"/>
    </row>
    <row r="858" spans="2:10" ht="39.950000000000003" customHeight="1" x14ac:dyDescent="0.25">
      <c r="B858" s="41"/>
      <c r="C858" s="42"/>
      <c r="D858" s="43" t="str">
        <f t="shared" si="39"/>
        <v/>
      </c>
      <c r="E858" s="44" t="str">
        <f>IF($C858="","",INDEX(Summary!$J$3:$J$7,MATCH($C858,TaskListLeads,FALSE),1))</f>
        <v/>
      </c>
      <c r="F858" s="50"/>
      <c r="G858" s="45" t="str">
        <f t="shared" si="40"/>
        <v/>
      </c>
      <c r="H858" s="50"/>
      <c r="I858" s="45" t="str">
        <f t="shared" si="41"/>
        <v/>
      </c>
      <c r="J858" s="41"/>
    </row>
    <row r="859" spans="2:10" ht="39.950000000000003" customHeight="1" x14ac:dyDescent="0.25">
      <c r="B859" s="41"/>
      <c r="C859" s="42"/>
      <c r="D859" s="43" t="str">
        <f t="shared" si="39"/>
        <v/>
      </c>
      <c r="E859" s="44" t="str">
        <f>IF($C859="","",INDEX(Summary!$J$3:$J$7,MATCH($C859,TaskListLeads,FALSE),1))</f>
        <v/>
      </c>
      <c r="F859" s="50"/>
      <c r="G859" s="45" t="str">
        <f t="shared" si="40"/>
        <v/>
      </c>
      <c r="H859" s="50"/>
      <c r="I859" s="45" t="str">
        <f t="shared" si="41"/>
        <v/>
      </c>
      <c r="J859" s="41"/>
    </row>
    <row r="860" spans="2:10" ht="39.950000000000003" customHeight="1" x14ac:dyDescent="0.25">
      <c r="B860" s="41"/>
      <c r="C860" s="42"/>
      <c r="D860" s="43" t="str">
        <f t="shared" si="39"/>
        <v/>
      </c>
      <c r="E860" s="44" t="str">
        <f>IF($C860="","",INDEX(Summary!$J$3:$J$7,MATCH($C860,TaskListLeads,FALSE),1))</f>
        <v/>
      </c>
      <c r="F860" s="50"/>
      <c r="G860" s="45" t="str">
        <f t="shared" si="40"/>
        <v/>
      </c>
      <c r="H860" s="50"/>
      <c r="I860" s="45" t="str">
        <f t="shared" si="41"/>
        <v/>
      </c>
      <c r="J860" s="41"/>
    </row>
    <row r="861" spans="2:10" ht="39.950000000000003" customHeight="1" x14ac:dyDescent="0.25">
      <c r="B861" s="41"/>
      <c r="C861" s="42"/>
      <c r="D861" s="43" t="str">
        <f t="shared" si="39"/>
        <v/>
      </c>
      <c r="E861" s="44" t="str">
        <f>IF($C861="","",INDEX(Summary!$J$3:$J$7,MATCH($C861,TaskListLeads,FALSE),1))</f>
        <v/>
      </c>
      <c r="F861" s="50"/>
      <c r="G861" s="45" t="str">
        <f t="shared" si="40"/>
        <v/>
      </c>
      <c r="H861" s="50"/>
      <c r="I861" s="45" t="str">
        <f t="shared" si="41"/>
        <v/>
      </c>
      <c r="J861" s="41"/>
    </row>
    <row r="862" spans="2:10" ht="39.950000000000003" customHeight="1" x14ac:dyDescent="0.25">
      <c r="B862" s="41"/>
      <c r="C862" s="42"/>
      <c r="D862" s="43" t="str">
        <f t="shared" si="39"/>
        <v/>
      </c>
      <c r="E862" s="44" t="str">
        <f>IF($C862="","",INDEX(Summary!$J$3:$J$7,MATCH($C862,TaskListLeads,FALSE),1))</f>
        <v/>
      </c>
      <c r="F862" s="50"/>
      <c r="G862" s="45" t="str">
        <f t="shared" si="40"/>
        <v/>
      </c>
      <c r="H862" s="50"/>
      <c r="I862" s="45" t="str">
        <f t="shared" si="41"/>
        <v/>
      </c>
      <c r="J862" s="41"/>
    </row>
    <row r="863" spans="2:10" ht="39.950000000000003" customHeight="1" x14ac:dyDescent="0.25">
      <c r="B863" s="41"/>
      <c r="C863" s="42"/>
      <c r="D863" s="43" t="str">
        <f t="shared" si="39"/>
        <v/>
      </c>
      <c r="E863" s="44" t="str">
        <f>IF($C863="","",INDEX(Summary!$J$3:$J$7,MATCH($C863,TaskListLeads,FALSE),1))</f>
        <v/>
      </c>
      <c r="F863" s="50"/>
      <c r="G863" s="45" t="str">
        <f t="shared" si="40"/>
        <v/>
      </c>
      <c r="H863" s="50"/>
      <c r="I863" s="45" t="str">
        <f t="shared" si="41"/>
        <v/>
      </c>
      <c r="J863" s="41"/>
    </row>
    <row r="864" spans="2:10" ht="39.950000000000003" customHeight="1" x14ac:dyDescent="0.25">
      <c r="B864" s="41"/>
      <c r="C864" s="42"/>
      <c r="D864" s="43" t="str">
        <f t="shared" si="39"/>
        <v/>
      </c>
      <c r="E864" s="44" t="str">
        <f>IF($C864="","",INDEX(Summary!$J$3:$J$7,MATCH($C864,TaskListLeads,FALSE),1))</f>
        <v/>
      </c>
      <c r="F864" s="50"/>
      <c r="G864" s="45" t="str">
        <f t="shared" si="40"/>
        <v/>
      </c>
      <c r="H864" s="50"/>
      <c r="I864" s="45" t="str">
        <f t="shared" si="41"/>
        <v/>
      </c>
      <c r="J864" s="41"/>
    </row>
    <row r="865" spans="2:10" ht="39.950000000000003" customHeight="1" x14ac:dyDescent="0.25">
      <c r="B865" s="41"/>
      <c r="C865" s="42"/>
      <c r="D865" s="43" t="str">
        <f t="shared" si="39"/>
        <v/>
      </c>
      <c r="E865" s="44" t="str">
        <f>IF($C865="","",INDEX(Summary!$J$3:$J$7,MATCH($C865,TaskListLeads,FALSE),1))</f>
        <v/>
      </c>
      <c r="F865" s="50"/>
      <c r="G865" s="45" t="str">
        <f t="shared" si="40"/>
        <v/>
      </c>
      <c r="H865" s="50"/>
      <c r="I865" s="45" t="str">
        <f t="shared" si="41"/>
        <v/>
      </c>
      <c r="J865" s="41"/>
    </row>
    <row r="866" spans="2:10" ht="39.950000000000003" customHeight="1" x14ac:dyDescent="0.25">
      <c r="B866" s="41"/>
      <c r="C866" s="42"/>
      <c r="D866" s="43" t="str">
        <f t="shared" si="39"/>
        <v/>
      </c>
      <c r="E866" s="44" t="str">
        <f>IF($C866="","",INDEX(Summary!$J$3:$J$7,MATCH($C866,TaskListLeads,FALSE),1))</f>
        <v/>
      </c>
      <c r="F866" s="50"/>
      <c r="G866" s="45" t="str">
        <f t="shared" si="40"/>
        <v/>
      </c>
      <c r="H866" s="50"/>
      <c r="I866" s="45" t="str">
        <f t="shared" si="41"/>
        <v/>
      </c>
      <c r="J866" s="41"/>
    </row>
    <row r="867" spans="2:10" ht="39.950000000000003" customHeight="1" x14ac:dyDescent="0.25">
      <c r="B867" s="41"/>
      <c r="C867" s="42"/>
      <c r="D867" s="43" t="str">
        <f t="shared" si="39"/>
        <v/>
      </c>
      <c r="E867" s="44" t="str">
        <f>IF($C867="","",INDEX(Summary!$J$3:$J$7,MATCH($C867,TaskListLeads,FALSE),1))</f>
        <v/>
      </c>
      <c r="F867" s="50"/>
      <c r="G867" s="45" t="str">
        <f t="shared" si="40"/>
        <v/>
      </c>
      <c r="H867" s="50"/>
      <c r="I867" s="45" t="str">
        <f t="shared" si="41"/>
        <v/>
      </c>
      <c r="J867" s="41"/>
    </row>
    <row r="868" spans="2:10" ht="39.950000000000003" customHeight="1" x14ac:dyDescent="0.25">
      <c r="B868" s="41"/>
      <c r="C868" s="42"/>
      <c r="D868" s="43" t="str">
        <f t="shared" si="39"/>
        <v/>
      </c>
      <c r="E868" s="44" t="str">
        <f>IF($C868="","",INDEX(Summary!$J$3:$J$7,MATCH($C868,TaskListLeads,FALSE),1))</f>
        <v/>
      </c>
      <c r="F868" s="50"/>
      <c r="G868" s="45" t="str">
        <f t="shared" si="40"/>
        <v/>
      </c>
      <c r="H868" s="50"/>
      <c r="I868" s="45" t="str">
        <f t="shared" si="41"/>
        <v/>
      </c>
      <c r="J868" s="41"/>
    </row>
    <row r="869" spans="2:10" ht="39.950000000000003" customHeight="1" x14ac:dyDescent="0.25">
      <c r="B869" s="41"/>
      <c r="C869" s="42"/>
      <c r="D869" s="43" t="str">
        <f t="shared" si="39"/>
        <v/>
      </c>
      <c r="E869" s="44" t="str">
        <f>IF($C869="","",INDEX(Summary!$J$3:$J$7,MATCH($C869,TaskListLeads,FALSE),1))</f>
        <v/>
      </c>
      <c r="F869" s="50"/>
      <c r="G869" s="45" t="str">
        <f t="shared" si="40"/>
        <v/>
      </c>
      <c r="H869" s="50"/>
      <c r="I869" s="45" t="str">
        <f t="shared" si="41"/>
        <v/>
      </c>
      <c r="J869" s="41"/>
    </row>
    <row r="870" spans="2:10" ht="39.950000000000003" customHeight="1" x14ac:dyDescent="0.25">
      <c r="B870" s="41"/>
      <c r="C870" s="42"/>
      <c r="D870" s="43" t="str">
        <f t="shared" si="39"/>
        <v/>
      </c>
      <c r="E870" s="44" t="str">
        <f>IF($C870="","",INDEX(Summary!$J$3:$J$7,MATCH($C870,TaskListLeads,FALSE),1))</f>
        <v/>
      </c>
      <c r="F870" s="50"/>
      <c r="G870" s="45" t="str">
        <f t="shared" si="40"/>
        <v/>
      </c>
      <c r="H870" s="50"/>
      <c r="I870" s="45" t="str">
        <f t="shared" si="41"/>
        <v/>
      </c>
      <c r="J870" s="41"/>
    </row>
    <row r="871" spans="2:10" ht="39.950000000000003" customHeight="1" x14ac:dyDescent="0.25">
      <c r="B871" s="41"/>
      <c r="C871" s="42"/>
      <c r="D871" s="43" t="str">
        <f t="shared" si="39"/>
        <v/>
      </c>
      <c r="E871" s="44" t="str">
        <f>IF($C871="","",INDEX(Summary!$J$3:$J$7,MATCH($C871,TaskListLeads,FALSE),1))</f>
        <v/>
      </c>
      <c r="F871" s="50"/>
      <c r="G871" s="45" t="str">
        <f t="shared" si="40"/>
        <v/>
      </c>
      <c r="H871" s="50"/>
      <c r="I871" s="45" t="str">
        <f t="shared" si="41"/>
        <v/>
      </c>
      <c r="J871" s="41"/>
    </row>
    <row r="872" spans="2:10" ht="39.950000000000003" customHeight="1" x14ac:dyDescent="0.25">
      <c r="B872" s="41"/>
      <c r="C872" s="42"/>
      <c r="D872" s="43" t="str">
        <f t="shared" si="39"/>
        <v/>
      </c>
      <c r="E872" s="44" t="str">
        <f>IF($C872="","",INDEX(Summary!$J$3:$J$7,MATCH($C872,TaskListLeads,FALSE),1))</f>
        <v/>
      </c>
      <c r="F872" s="50"/>
      <c r="G872" s="45" t="str">
        <f t="shared" si="40"/>
        <v/>
      </c>
      <c r="H872" s="50"/>
      <c r="I872" s="45" t="str">
        <f t="shared" si="41"/>
        <v/>
      </c>
      <c r="J872" s="41"/>
    </row>
    <row r="873" spans="2:10" ht="39.950000000000003" customHeight="1" x14ac:dyDescent="0.25">
      <c r="B873" s="41"/>
      <c r="C873" s="42"/>
      <c r="D873" s="43" t="str">
        <f t="shared" si="39"/>
        <v/>
      </c>
      <c r="E873" s="44" t="str">
        <f>IF($C873="","",INDEX(Summary!$J$3:$J$7,MATCH($C873,TaskListLeads,FALSE),1))</f>
        <v/>
      </c>
      <c r="F873" s="50"/>
      <c r="G873" s="45" t="str">
        <f t="shared" si="40"/>
        <v/>
      </c>
      <c r="H873" s="50"/>
      <c r="I873" s="45" t="str">
        <f t="shared" si="41"/>
        <v/>
      </c>
      <c r="J873" s="41"/>
    </row>
    <row r="874" spans="2:10" ht="39.950000000000003" customHeight="1" x14ac:dyDescent="0.25">
      <c r="B874" s="41"/>
      <c r="C874" s="42"/>
      <c r="D874" s="43" t="str">
        <f t="shared" si="39"/>
        <v/>
      </c>
      <c r="E874" s="44" t="str">
        <f>IF($C874="","",INDEX(Summary!$J$3:$J$7,MATCH($C874,TaskListLeads,FALSE),1))</f>
        <v/>
      </c>
      <c r="F874" s="50"/>
      <c r="G874" s="45" t="str">
        <f t="shared" si="40"/>
        <v/>
      </c>
      <c r="H874" s="50"/>
      <c r="I874" s="45" t="str">
        <f t="shared" si="41"/>
        <v/>
      </c>
      <c r="J874" s="41"/>
    </row>
    <row r="875" spans="2:10" ht="39.950000000000003" customHeight="1" x14ac:dyDescent="0.25">
      <c r="B875" s="41"/>
      <c r="C875" s="42"/>
      <c r="D875" s="43" t="str">
        <f t="shared" si="39"/>
        <v/>
      </c>
      <c r="E875" s="44" t="str">
        <f>IF($C875="","",INDEX(Summary!$J$3:$J$7,MATCH($C875,TaskListLeads,FALSE),1))</f>
        <v/>
      </c>
      <c r="F875" s="50"/>
      <c r="G875" s="45" t="str">
        <f t="shared" si="40"/>
        <v/>
      </c>
      <c r="H875" s="50"/>
      <c r="I875" s="45" t="str">
        <f t="shared" si="41"/>
        <v/>
      </c>
      <c r="J875" s="41"/>
    </row>
    <row r="876" spans="2:10" ht="39.950000000000003" customHeight="1" x14ac:dyDescent="0.25">
      <c r="B876" s="41"/>
      <c r="C876" s="42"/>
      <c r="D876" s="43" t="str">
        <f t="shared" si="39"/>
        <v/>
      </c>
      <c r="E876" s="44" t="str">
        <f>IF($C876="","",INDEX(Summary!$J$3:$J$7,MATCH($C876,TaskListLeads,FALSE),1))</f>
        <v/>
      </c>
      <c r="F876" s="50"/>
      <c r="G876" s="45" t="str">
        <f t="shared" si="40"/>
        <v/>
      </c>
      <c r="H876" s="50"/>
      <c r="I876" s="45" t="str">
        <f t="shared" si="41"/>
        <v/>
      </c>
      <c r="J876" s="41"/>
    </row>
    <row r="877" spans="2:10" ht="39.950000000000003" customHeight="1" x14ac:dyDescent="0.25">
      <c r="B877" s="41"/>
      <c r="C877" s="42"/>
      <c r="D877" s="43" t="str">
        <f t="shared" si="39"/>
        <v/>
      </c>
      <c r="E877" s="44" t="str">
        <f>IF($C877="","",INDEX(Summary!$J$3:$J$7,MATCH($C877,TaskListLeads,FALSE),1))</f>
        <v/>
      </c>
      <c r="F877" s="50"/>
      <c r="G877" s="45" t="str">
        <f t="shared" si="40"/>
        <v/>
      </c>
      <c r="H877" s="50"/>
      <c r="I877" s="45" t="str">
        <f t="shared" si="41"/>
        <v/>
      </c>
      <c r="J877" s="41"/>
    </row>
    <row r="878" spans="2:10" ht="39.950000000000003" customHeight="1" x14ac:dyDescent="0.25">
      <c r="B878" s="41"/>
      <c r="C878" s="42"/>
      <c r="D878" s="43" t="str">
        <f t="shared" si="39"/>
        <v/>
      </c>
      <c r="E878" s="44" t="str">
        <f>IF($C878="","",INDEX(Summary!$J$3:$J$7,MATCH($C878,TaskListLeads,FALSE),1))</f>
        <v/>
      </c>
      <c r="F878" s="50"/>
      <c r="G878" s="45" t="str">
        <f t="shared" si="40"/>
        <v/>
      </c>
      <c r="H878" s="50"/>
      <c r="I878" s="45" t="str">
        <f t="shared" si="41"/>
        <v/>
      </c>
      <c r="J878" s="41"/>
    </row>
    <row r="879" spans="2:10" ht="39.950000000000003" customHeight="1" x14ac:dyDescent="0.25">
      <c r="B879" s="41"/>
      <c r="C879" s="42"/>
      <c r="D879" s="43" t="str">
        <f t="shared" si="39"/>
        <v/>
      </c>
      <c r="E879" s="44" t="str">
        <f>IF($C879="","",INDEX(Summary!$J$3:$J$7,MATCH($C879,TaskListLeads,FALSE),1))</f>
        <v/>
      </c>
      <c r="F879" s="50"/>
      <c r="G879" s="45" t="str">
        <f t="shared" si="40"/>
        <v/>
      </c>
      <c r="H879" s="50"/>
      <c r="I879" s="45" t="str">
        <f t="shared" si="41"/>
        <v/>
      </c>
      <c r="J879" s="41"/>
    </row>
    <row r="880" spans="2:10" ht="39.950000000000003" customHeight="1" x14ac:dyDescent="0.25">
      <c r="B880" s="41"/>
      <c r="C880" s="42"/>
      <c r="D880" s="43" t="str">
        <f t="shared" si="39"/>
        <v/>
      </c>
      <c r="E880" s="44" t="str">
        <f>IF($C880="","",INDEX(Summary!$J$3:$J$7,MATCH($C880,TaskListLeads,FALSE),1))</f>
        <v/>
      </c>
      <c r="F880" s="50"/>
      <c r="G880" s="45" t="str">
        <f t="shared" si="40"/>
        <v/>
      </c>
      <c r="H880" s="50"/>
      <c r="I880" s="45" t="str">
        <f t="shared" si="41"/>
        <v/>
      </c>
      <c r="J880" s="41"/>
    </row>
    <row r="881" spans="2:10" ht="39.950000000000003" customHeight="1" x14ac:dyDescent="0.25">
      <c r="B881" s="41"/>
      <c r="C881" s="42"/>
      <c r="D881" s="43" t="str">
        <f t="shared" si="39"/>
        <v/>
      </c>
      <c r="E881" s="44" t="str">
        <f>IF($C881="","",INDEX(Summary!$J$3:$J$7,MATCH($C881,TaskListLeads,FALSE),1))</f>
        <v/>
      </c>
      <c r="F881" s="50"/>
      <c r="G881" s="45" t="str">
        <f t="shared" si="40"/>
        <v/>
      </c>
      <c r="H881" s="50"/>
      <c r="I881" s="45" t="str">
        <f t="shared" si="41"/>
        <v/>
      </c>
      <c r="J881" s="41"/>
    </row>
    <row r="882" spans="2:10" ht="39.950000000000003" customHeight="1" x14ac:dyDescent="0.25">
      <c r="B882" s="41"/>
      <c r="C882" s="42"/>
      <c r="D882" s="43" t="str">
        <f t="shared" si="39"/>
        <v/>
      </c>
      <c r="E882" s="44" t="str">
        <f>IF($C882="","",INDEX(Summary!$J$3:$J$7,MATCH($C882,TaskListLeads,FALSE),1))</f>
        <v/>
      </c>
      <c r="F882" s="50"/>
      <c r="G882" s="45" t="str">
        <f t="shared" si="40"/>
        <v/>
      </c>
      <c r="H882" s="50"/>
      <c r="I882" s="45" t="str">
        <f t="shared" si="41"/>
        <v/>
      </c>
      <c r="J882" s="41"/>
    </row>
    <row r="883" spans="2:10" ht="39.950000000000003" customHeight="1" x14ac:dyDescent="0.25">
      <c r="B883" s="41"/>
      <c r="C883" s="42"/>
      <c r="D883" s="43" t="str">
        <f t="shared" si="39"/>
        <v/>
      </c>
      <c r="E883" s="44" t="str">
        <f>IF($C883="","",INDEX(Summary!$J$3:$J$7,MATCH($C883,TaskListLeads,FALSE),1))</f>
        <v/>
      </c>
      <c r="F883" s="50"/>
      <c r="G883" s="45" t="str">
        <f t="shared" si="40"/>
        <v/>
      </c>
      <c r="H883" s="50"/>
      <c r="I883" s="45" t="str">
        <f t="shared" si="41"/>
        <v/>
      </c>
      <c r="J883" s="41"/>
    </row>
    <row r="884" spans="2:10" ht="39.950000000000003" customHeight="1" x14ac:dyDescent="0.25">
      <c r="B884" s="41"/>
      <c r="C884" s="42"/>
      <c r="D884" s="43" t="str">
        <f t="shared" si="39"/>
        <v/>
      </c>
      <c r="E884" s="44" t="str">
        <f>IF($C884="","",INDEX(Summary!$J$3:$J$7,MATCH($C884,TaskListLeads,FALSE),1))</f>
        <v/>
      </c>
      <c r="F884" s="50"/>
      <c r="G884" s="45" t="str">
        <f t="shared" si="40"/>
        <v/>
      </c>
      <c r="H884" s="50"/>
      <c r="I884" s="45" t="str">
        <f t="shared" si="41"/>
        <v/>
      </c>
      <c r="J884" s="41"/>
    </row>
    <row r="885" spans="2:10" ht="39.950000000000003" customHeight="1" x14ac:dyDescent="0.25">
      <c r="B885" s="41"/>
      <c r="C885" s="42"/>
      <c r="D885" s="43" t="str">
        <f t="shared" si="39"/>
        <v/>
      </c>
      <c r="E885" s="44" t="str">
        <f>IF($C885="","",INDEX(Summary!$J$3:$J$7,MATCH($C885,TaskListLeads,FALSE),1))</f>
        <v/>
      </c>
      <c r="F885" s="50"/>
      <c r="G885" s="45" t="str">
        <f t="shared" si="40"/>
        <v/>
      </c>
      <c r="H885" s="50"/>
      <c r="I885" s="45" t="str">
        <f t="shared" si="41"/>
        <v/>
      </c>
      <c r="J885" s="41"/>
    </row>
    <row r="886" spans="2:10" ht="39.950000000000003" customHeight="1" x14ac:dyDescent="0.25">
      <c r="B886" s="41"/>
      <c r="C886" s="42"/>
      <c r="D886" s="43" t="str">
        <f t="shared" si="39"/>
        <v/>
      </c>
      <c r="E886" s="44" t="str">
        <f>IF($C886="","",INDEX(Summary!$J$3:$J$7,MATCH($C886,TaskListLeads,FALSE),1))</f>
        <v/>
      </c>
      <c r="F886" s="50"/>
      <c r="G886" s="45" t="str">
        <f t="shared" si="40"/>
        <v/>
      </c>
      <c r="H886" s="50"/>
      <c r="I886" s="45" t="str">
        <f t="shared" si="41"/>
        <v/>
      </c>
      <c r="J886" s="41"/>
    </row>
    <row r="887" spans="2:10" ht="39.950000000000003" customHeight="1" x14ac:dyDescent="0.25">
      <c r="B887" s="41"/>
      <c r="C887" s="42"/>
      <c r="D887" s="43" t="str">
        <f t="shared" si="39"/>
        <v/>
      </c>
      <c r="E887" s="44" t="str">
        <f>IF($C887="","",INDEX(Summary!$J$3:$J$7,MATCH($C887,TaskListLeads,FALSE),1))</f>
        <v/>
      </c>
      <c r="F887" s="50"/>
      <c r="G887" s="45" t="str">
        <f t="shared" si="40"/>
        <v/>
      </c>
      <c r="H887" s="50"/>
      <c r="I887" s="45" t="str">
        <f t="shared" si="41"/>
        <v/>
      </c>
      <c r="J887" s="41"/>
    </row>
    <row r="888" spans="2:10" ht="39.950000000000003" customHeight="1" x14ac:dyDescent="0.25">
      <c r="B888" s="41"/>
      <c r="C888" s="42"/>
      <c r="D888" s="43" t="str">
        <f t="shared" si="39"/>
        <v/>
      </c>
      <c r="E888" s="44" t="str">
        <f>IF($C888="","",INDEX(Summary!$J$3:$J$7,MATCH($C888,TaskListLeads,FALSE),1))</f>
        <v/>
      </c>
      <c r="F888" s="50"/>
      <c r="G888" s="45" t="str">
        <f t="shared" si="40"/>
        <v/>
      </c>
      <c r="H888" s="50"/>
      <c r="I888" s="45" t="str">
        <f t="shared" si="41"/>
        <v/>
      </c>
      <c r="J888" s="41"/>
    </row>
    <row r="889" spans="2:10" ht="39.950000000000003" customHeight="1" x14ac:dyDescent="0.25">
      <c r="B889" s="41"/>
      <c r="C889" s="42"/>
      <c r="D889" s="43" t="str">
        <f t="shared" si="39"/>
        <v/>
      </c>
      <c r="E889" s="44" t="str">
        <f>IF($C889="","",INDEX(Summary!$J$3:$J$7,MATCH($C889,TaskListLeads,FALSE),1))</f>
        <v/>
      </c>
      <c r="F889" s="50"/>
      <c r="G889" s="45" t="str">
        <f t="shared" si="40"/>
        <v/>
      </c>
      <c r="H889" s="50"/>
      <c r="I889" s="45" t="str">
        <f t="shared" si="41"/>
        <v/>
      </c>
      <c r="J889" s="41"/>
    </row>
    <row r="890" spans="2:10" ht="39.950000000000003" customHeight="1" x14ac:dyDescent="0.25">
      <c r="B890" s="41"/>
      <c r="C890" s="42"/>
      <c r="D890" s="43" t="str">
        <f t="shared" si="39"/>
        <v/>
      </c>
      <c r="E890" s="44" t="str">
        <f>IF($C890="","",INDEX(Summary!$J$3:$J$7,MATCH($C890,TaskListLeads,FALSE),1))</f>
        <v/>
      </c>
      <c r="F890" s="50"/>
      <c r="G890" s="45" t="str">
        <f t="shared" si="40"/>
        <v/>
      </c>
      <c r="H890" s="50"/>
      <c r="I890" s="45" t="str">
        <f t="shared" si="41"/>
        <v/>
      </c>
      <c r="J890" s="41"/>
    </row>
    <row r="891" spans="2:10" ht="39.950000000000003" customHeight="1" x14ac:dyDescent="0.25">
      <c r="B891" s="41"/>
      <c r="C891" s="42"/>
      <c r="D891" s="43" t="str">
        <f t="shared" si="39"/>
        <v/>
      </c>
      <c r="E891" s="44" t="str">
        <f>IF($C891="","",INDEX(Summary!$J$3:$J$7,MATCH($C891,TaskListLeads,FALSE),1))</f>
        <v/>
      </c>
      <c r="F891" s="50"/>
      <c r="G891" s="45" t="str">
        <f t="shared" si="40"/>
        <v/>
      </c>
      <c r="H891" s="50"/>
      <c r="I891" s="45" t="str">
        <f t="shared" si="41"/>
        <v/>
      </c>
      <c r="J891" s="41"/>
    </row>
    <row r="892" spans="2:10" ht="39.950000000000003" customHeight="1" x14ac:dyDescent="0.25">
      <c r="B892" s="41"/>
      <c r="C892" s="42"/>
      <c r="D892" s="43" t="str">
        <f t="shared" si="39"/>
        <v/>
      </c>
      <c r="E892" s="44" t="str">
        <f>IF($C892="","",INDEX(Summary!$J$3:$J$7,MATCH($C892,TaskListLeads,FALSE),1))</f>
        <v/>
      </c>
      <c r="F892" s="50"/>
      <c r="G892" s="45" t="str">
        <f t="shared" si="40"/>
        <v/>
      </c>
      <c r="H892" s="50"/>
      <c r="I892" s="45" t="str">
        <f t="shared" si="41"/>
        <v/>
      </c>
      <c r="J892" s="41"/>
    </row>
    <row r="893" spans="2:10" ht="39.950000000000003" customHeight="1" x14ac:dyDescent="0.25">
      <c r="B893" s="41"/>
      <c r="C893" s="42"/>
      <c r="D893" s="43" t="str">
        <f t="shared" si="39"/>
        <v/>
      </c>
      <c r="E893" s="44" t="str">
        <f>IF($C893="","",INDEX(Summary!$J$3:$J$7,MATCH($C893,TaskListLeads,FALSE),1))</f>
        <v/>
      </c>
      <c r="F893" s="50"/>
      <c r="G893" s="45" t="str">
        <f t="shared" si="40"/>
        <v/>
      </c>
      <c r="H893" s="50"/>
      <c r="I893" s="45" t="str">
        <f t="shared" si="41"/>
        <v/>
      </c>
      <c r="J893" s="41"/>
    </row>
    <row r="894" spans="2:10" ht="39.950000000000003" customHeight="1" x14ac:dyDescent="0.25">
      <c r="B894" s="41"/>
      <c r="C894" s="42"/>
      <c r="D894" s="43" t="str">
        <f t="shared" si="39"/>
        <v/>
      </c>
      <c r="E894" s="44" t="str">
        <f>IF($C894="","",INDEX(Summary!$J$3:$J$7,MATCH($C894,TaskListLeads,FALSE),1))</f>
        <v/>
      </c>
      <c r="F894" s="50"/>
      <c r="G894" s="45" t="str">
        <f t="shared" si="40"/>
        <v/>
      </c>
      <c r="H894" s="50"/>
      <c r="I894" s="45" t="str">
        <f t="shared" si="41"/>
        <v/>
      </c>
      <c r="J894" s="41"/>
    </row>
    <row r="895" spans="2:10" ht="39.950000000000003" customHeight="1" x14ac:dyDescent="0.25">
      <c r="B895" s="41"/>
      <c r="C895" s="42"/>
      <c r="D895" s="43" t="str">
        <f t="shared" si="39"/>
        <v/>
      </c>
      <c r="E895" s="44" t="str">
        <f>IF($C895="","",INDEX(Summary!$J$3:$J$7,MATCH($C895,TaskListLeads,FALSE),1))</f>
        <v/>
      </c>
      <c r="F895" s="50"/>
      <c r="G895" s="45" t="str">
        <f t="shared" si="40"/>
        <v/>
      </c>
      <c r="H895" s="50"/>
      <c r="I895" s="45" t="str">
        <f t="shared" si="41"/>
        <v/>
      </c>
      <c r="J895" s="41"/>
    </row>
    <row r="896" spans="2:10" ht="39.950000000000003" customHeight="1" x14ac:dyDescent="0.25">
      <c r="B896" s="41"/>
      <c r="C896" s="42"/>
      <c r="D896" s="43" t="str">
        <f t="shared" si="39"/>
        <v/>
      </c>
      <c r="E896" s="44" t="str">
        <f>IF($C896="","",INDEX(Summary!$J$3:$J$7,MATCH($C896,TaskListLeads,FALSE),1))</f>
        <v/>
      </c>
      <c r="F896" s="50"/>
      <c r="G896" s="45" t="str">
        <f t="shared" si="40"/>
        <v/>
      </c>
      <c r="H896" s="50"/>
      <c r="I896" s="45" t="str">
        <f t="shared" si="41"/>
        <v/>
      </c>
      <c r="J896" s="41"/>
    </row>
    <row r="897" spans="2:10" ht="39.950000000000003" customHeight="1" x14ac:dyDescent="0.25">
      <c r="B897" s="41"/>
      <c r="C897" s="42"/>
      <c r="D897" s="43" t="str">
        <f t="shared" si="39"/>
        <v/>
      </c>
      <c r="E897" s="44" t="str">
        <f>IF($C897="","",INDEX(Summary!$J$3:$J$7,MATCH($C897,TaskListLeads,FALSE),1))</f>
        <v/>
      </c>
      <c r="F897" s="50"/>
      <c r="G897" s="45" t="str">
        <f t="shared" si="40"/>
        <v/>
      </c>
      <c r="H897" s="50"/>
      <c r="I897" s="45" t="str">
        <f t="shared" si="41"/>
        <v/>
      </c>
      <c r="J897" s="41"/>
    </row>
    <row r="898" spans="2:10" ht="39.950000000000003" customHeight="1" x14ac:dyDescent="0.25">
      <c r="B898" s="41"/>
      <c r="C898" s="42"/>
      <c r="D898" s="43" t="str">
        <f t="shared" si="39"/>
        <v/>
      </c>
      <c r="E898" s="44" t="str">
        <f>IF($C898="","",INDEX(Summary!$J$3:$J$7,MATCH($C898,TaskListLeads,FALSE),1))</f>
        <v/>
      </c>
      <c r="F898" s="50"/>
      <c r="G898" s="45" t="str">
        <f t="shared" si="40"/>
        <v/>
      </c>
      <c r="H898" s="50"/>
      <c r="I898" s="45" t="str">
        <f t="shared" si="41"/>
        <v/>
      </c>
      <c r="J898" s="41"/>
    </row>
    <row r="899" spans="2:10" ht="39.950000000000003" customHeight="1" x14ac:dyDescent="0.25">
      <c r="B899" s="41"/>
      <c r="C899" s="42"/>
      <c r="D899" s="43" t="str">
        <f t="shared" si="39"/>
        <v/>
      </c>
      <c r="E899" s="44" t="str">
        <f>IF($C899="","",INDEX(Summary!$J$3:$J$7,MATCH($C899,TaskListLeads,FALSE),1))</f>
        <v/>
      </c>
      <c r="F899" s="50"/>
      <c r="G899" s="45" t="str">
        <f t="shared" si="40"/>
        <v/>
      </c>
      <c r="H899" s="50"/>
      <c r="I899" s="45" t="str">
        <f t="shared" si="41"/>
        <v/>
      </c>
      <c r="J899" s="41"/>
    </row>
    <row r="900" spans="2:10" ht="39.950000000000003" customHeight="1" x14ac:dyDescent="0.25">
      <c r="B900" s="41"/>
      <c r="C900" s="42"/>
      <c r="D900" s="43" t="str">
        <f t="shared" si="39"/>
        <v/>
      </c>
      <c r="E900" s="44" t="str">
        <f>IF($C900="","",INDEX(Summary!$J$3:$J$7,MATCH($C900,TaskListLeads,FALSE),1))</f>
        <v/>
      </c>
      <c r="F900" s="50"/>
      <c r="G900" s="45" t="str">
        <f t="shared" si="40"/>
        <v/>
      </c>
      <c r="H900" s="50"/>
      <c r="I900" s="45" t="str">
        <f t="shared" si="41"/>
        <v/>
      </c>
      <c r="J900" s="41"/>
    </row>
    <row r="901" spans="2:10" ht="39.950000000000003" customHeight="1" x14ac:dyDescent="0.25">
      <c r="B901" s="41"/>
      <c r="C901" s="42"/>
      <c r="D901" s="43" t="str">
        <f t="shared" si="39"/>
        <v/>
      </c>
      <c r="E901" s="44" t="str">
        <f>IF($C901="","",INDEX(Summary!$J$3:$J$7,MATCH($C901,TaskListLeads,FALSE),1))</f>
        <v/>
      </c>
      <c r="F901" s="50"/>
      <c r="G901" s="45" t="str">
        <f t="shared" si="40"/>
        <v/>
      </c>
      <c r="H901" s="50"/>
      <c r="I901" s="45" t="str">
        <f t="shared" si="41"/>
        <v/>
      </c>
      <c r="J901" s="41"/>
    </row>
    <row r="902" spans="2:10" ht="39.950000000000003" customHeight="1" x14ac:dyDescent="0.25">
      <c r="B902" s="41"/>
      <c r="C902" s="42"/>
      <c r="D902" s="43" t="str">
        <f t="shared" si="39"/>
        <v/>
      </c>
      <c r="E902" s="44" t="str">
        <f>IF($C902="","",INDEX(Summary!$J$3:$J$7,MATCH($C902,TaskListLeads,FALSE),1))</f>
        <v/>
      </c>
      <c r="F902" s="50"/>
      <c r="G902" s="45" t="str">
        <f t="shared" si="40"/>
        <v/>
      </c>
      <c r="H902" s="50"/>
      <c r="I902" s="45" t="str">
        <f t="shared" si="41"/>
        <v/>
      </c>
      <c r="J902" s="41"/>
    </row>
    <row r="903" spans="2:10" ht="39.950000000000003" customHeight="1" x14ac:dyDescent="0.25">
      <c r="B903" s="41"/>
      <c r="C903" s="42"/>
      <c r="D903" s="43" t="str">
        <f t="shared" si="39"/>
        <v/>
      </c>
      <c r="E903" s="44" t="str">
        <f>IF($C903="","",INDEX(Summary!$J$3:$J$7,MATCH($C903,TaskListLeads,FALSE),1))</f>
        <v/>
      </c>
      <c r="F903" s="50"/>
      <c r="G903" s="45" t="str">
        <f t="shared" si="40"/>
        <v/>
      </c>
      <c r="H903" s="50"/>
      <c r="I903" s="45" t="str">
        <f t="shared" si="41"/>
        <v/>
      </c>
      <c r="J903" s="41"/>
    </row>
    <row r="904" spans="2:10" ht="39.950000000000003" customHeight="1" x14ac:dyDescent="0.25">
      <c r="B904" s="41"/>
      <c r="C904" s="42"/>
      <c r="D904" s="43" t="str">
        <f t="shared" si="39"/>
        <v/>
      </c>
      <c r="E904" s="44" t="str">
        <f>IF($C904="","",INDEX(Summary!$J$3:$J$7,MATCH($C904,TaskListLeads,FALSE),1))</f>
        <v/>
      </c>
      <c r="F904" s="50"/>
      <c r="G904" s="45" t="str">
        <f t="shared" si="40"/>
        <v/>
      </c>
      <c r="H904" s="50"/>
      <c r="I904" s="45" t="str">
        <f t="shared" si="41"/>
        <v/>
      </c>
      <c r="J904" s="41"/>
    </row>
    <row r="905" spans="2:10" ht="39.950000000000003" customHeight="1" x14ac:dyDescent="0.25">
      <c r="B905" s="41"/>
      <c r="C905" s="42"/>
      <c r="D905" s="43" t="str">
        <f t="shared" si="39"/>
        <v/>
      </c>
      <c r="E905" s="44" t="str">
        <f>IF($C905="","",INDEX(Summary!$J$3:$J$7,MATCH($C905,TaskListLeads,FALSE),1))</f>
        <v/>
      </c>
      <c r="F905" s="50"/>
      <c r="G905" s="45" t="str">
        <f t="shared" si="40"/>
        <v/>
      </c>
      <c r="H905" s="50"/>
      <c r="I905" s="45" t="str">
        <f t="shared" si="41"/>
        <v/>
      </c>
      <c r="J905" s="41"/>
    </row>
    <row r="906" spans="2:10" ht="39.950000000000003" customHeight="1" x14ac:dyDescent="0.25">
      <c r="B906" s="41"/>
      <c r="C906" s="42"/>
      <c r="D906" s="43" t="str">
        <f t="shared" si="39"/>
        <v/>
      </c>
      <c r="E906" s="44" t="str">
        <f>IF($C906="","",INDEX(Summary!$J$3:$J$7,MATCH($C906,TaskListLeads,FALSE),1))</f>
        <v/>
      </c>
      <c r="F906" s="50"/>
      <c r="G906" s="45" t="str">
        <f t="shared" si="40"/>
        <v/>
      </c>
      <c r="H906" s="50"/>
      <c r="I906" s="45" t="str">
        <f t="shared" si="41"/>
        <v/>
      </c>
      <c r="J906" s="41"/>
    </row>
    <row r="907" spans="2:10" ht="39.950000000000003" customHeight="1" x14ac:dyDescent="0.25">
      <c r="B907" s="41"/>
      <c r="C907" s="42"/>
      <c r="D907" s="43" t="str">
        <f t="shared" ref="D907:D970" si="42">IF($C907="","",INDEX(TaskListCostCentres,MATCH($C907,TaskListLeads,FALSE),1))</f>
        <v/>
      </c>
      <c r="E907" s="44" t="str">
        <f>IF($C907="","",INDEX(Summary!$J$3:$J$7,MATCH($C907,TaskListLeads,FALSE),1))</f>
        <v/>
      </c>
      <c r="F907" s="50"/>
      <c r="G907" s="45" t="str">
        <f t="shared" ref="G907:G970" si="43">IF($F907="","",INDEX(ControlWeeksOf,MATCH($F907,ControlWeeksOf,TRUE),1))</f>
        <v/>
      </c>
      <c r="H907" s="50"/>
      <c r="I907" s="45" t="str">
        <f t="shared" ref="I907:I970" si="44">IF($H907="","",INDEX(ControlWeeksOf,MATCH($H907,ControlWeeksOf,TRUE),1))</f>
        <v/>
      </c>
      <c r="J907" s="41"/>
    </row>
    <row r="908" spans="2:10" ht="39.950000000000003" customHeight="1" x14ac:dyDescent="0.25">
      <c r="B908" s="41"/>
      <c r="C908" s="42"/>
      <c r="D908" s="43" t="str">
        <f t="shared" si="42"/>
        <v/>
      </c>
      <c r="E908" s="44" t="str">
        <f>IF($C908="","",INDEX(Summary!$J$3:$J$7,MATCH($C908,TaskListLeads,FALSE),1))</f>
        <v/>
      </c>
      <c r="F908" s="50"/>
      <c r="G908" s="45" t="str">
        <f t="shared" si="43"/>
        <v/>
      </c>
      <c r="H908" s="50"/>
      <c r="I908" s="45" t="str">
        <f t="shared" si="44"/>
        <v/>
      </c>
      <c r="J908" s="41"/>
    </row>
    <row r="909" spans="2:10" ht="39.950000000000003" customHeight="1" x14ac:dyDescent="0.25">
      <c r="B909" s="41"/>
      <c r="C909" s="42"/>
      <c r="D909" s="43" t="str">
        <f t="shared" si="42"/>
        <v/>
      </c>
      <c r="E909" s="44" t="str">
        <f>IF($C909="","",INDEX(Summary!$J$3:$J$7,MATCH($C909,TaskListLeads,FALSE),1))</f>
        <v/>
      </c>
      <c r="F909" s="50"/>
      <c r="G909" s="45" t="str">
        <f t="shared" si="43"/>
        <v/>
      </c>
      <c r="H909" s="50"/>
      <c r="I909" s="45" t="str">
        <f t="shared" si="44"/>
        <v/>
      </c>
      <c r="J909" s="41"/>
    </row>
    <row r="910" spans="2:10" ht="39.950000000000003" customHeight="1" x14ac:dyDescent="0.25">
      <c r="B910" s="41"/>
      <c r="C910" s="42"/>
      <c r="D910" s="43" t="str">
        <f t="shared" si="42"/>
        <v/>
      </c>
      <c r="E910" s="44" t="str">
        <f>IF($C910="","",INDEX(Summary!$J$3:$J$7,MATCH($C910,TaskListLeads,FALSE),1))</f>
        <v/>
      </c>
      <c r="F910" s="50"/>
      <c r="G910" s="45" t="str">
        <f t="shared" si="43"/>
        <v/>
      </c>
      <c r="H910" s="50"/>
      <c r="I910" s="45" t="str">
        <f t="shared" si="44"/>
        <v/>
      </c>
      <c r="J910" s="41"/>
    </row>
    <row r="911" spans="2:10" ht="39.950000000000003" customHeight="1" x14ac:dyDescent="0.25">
      <c r="B911" s="41"/>
      <c r="C911" s="42"/>
      <c r="D911" s="43" t="str">
        <f t="shared" si="42"/>
        <v/>
      </c>
      <c r="E911" s="44" t="str">
        <f>IF($C911="","",INDEX(Summary!$J$3:$J$7,MATCH($C911,TaskListLeads,FALSE),1))</f>
        <v/>
      </c>
      <c r="F911" s="50"/>
      <c r="G911" s="45" t="str">
        <f t="shared" si="43"/>
        <v/>
      </c>
      <c r="H911" s="50"/>
      <c r="I911" s="45" t="str">
        <f t="shared" si="44"/>
        <v/>
      </c>
      <c r="J911" s="41"/>
    </row>
    <row r="912" spans="2:10" ht="39.950000000000003" customHeight="1" x14ac:dyDescent="0.25">
      <c r="B912" s="41"/>
      <c r="C912" s="42"/>
      <c r="D912" s="43" t="str">
        <f t="shared" si="42"/>
        <v/>
      </c>
      <c r="E912" s="44" t="str">
        <f>IF($C912="","",INDEX(Summary!$J$3:$J$7,MATCH($C912,TaskListLeads,FALSE),1))</f>
        <v/>
      </c>
      <c r="F912" s="50"/>
      <c r="G912" s="45" t="str">
        <f t="shared" si="43"/>
        <v/>
      </c>
      <c r="H912" s="50"/>
      <c r="I912" s="45" t="str">
        <f t="shared" si="44"/>
        <v/>
      </c>
      <c r="J912" s="41"/>
    </row>
    <row r="913" spans="2:10" ht="39.950000000000003" customHeight="1" x14ac:dyDescent="0.25">
      <c r="B913" s="41"/>
      <c r="C913" s="42"/>
      <c r="D913" s="43" t="str">
        <f t="shared" si="42"/>
        <v/>
      </c>
      <c r="E913" s="44" t="str">
        <f>IF($C913="","",INDEX(Summary!$J$3:$J$7,MATCH($C913,TaskListLeads,FALSE),1))</f>
        <v/>
      </c>
      <c r="F913" s="50"/>
      <c r="G913" s="45" t="str">
        <f t="shared" si="43"/>
        <v/>
      </c>
      <c r="H913" s="50"/>
      <c r="I913" s="45" t="str">
        <f t="shared" si="44"/>
        <v/>
      </c>
      <c r="J913" s="41"/>
    </row>
    <row r="914" spans="2:10" ht="39.950000000000003" customHeight="1" x14ac:dyDescent="0.25">
      <c r="B914" s="41"/>
      <c r="C914" s="42"/>
      <c r="D914" s="43" t="str">
        <f t="shared" si="42"/>
        <v/>
      </c>
      <c r="E914" s="44" t="str">
        <f>IF($C914="","",INDEX(Summary!$J$3:$J$7,MATCH($C914,TaskListLeads,FALSE),1))</f>
        <v/>
      </c>
      <c r="F914" s="50"/>
      <c r="G914" s="45" t="str">
        <f t="shared" si="43"/>
        <v/>
      </c>
      <c r="H914" s="50"/>
      <c r="I914" s="45" t="str">
        <f t="shared" si="44"/>
        <v/>
      </c>
      <c r="J914" s="41"/>
    </row>
    <row r="915" spans="2:10" ht="39.950000000000003" customHeight="1" x14ac:dyDescent="0.25">
      <c r="B915" s="41"/>
      <c r="C915" s="42"/>
      <c r="D915" s="43" t="str">
        <f t="shared" si="42"/>
        <v/>
      </c>
      <c r="E915" s="44" t="str">
        <f>IF($C915="","",INDEX(Summary!$J$3:$J$7,MATCH($C915,TaskListLeads,FALSE),1))</f>
        <v/>
      </c>
      <c r="F915" s="50"/>
      <c r="G915" s="45" t="str">
        <f t="shared" si="43"/>
        <v/>
      </c>
      <c r="H915" s="50"/>
      <c r="I915" s="45" t="str">
        <f t="shared" si="44"/>
        <v/>
      </c>
      <c r="J915" s="41"/>
    </row>
    <row r="916" spans="2:10" ht="39.950000000000003" customHeight="1" x14ac:dyDescent="0.25">
      <c r="B916" s="41"/>
      <c r="C916" s="42"/>
      <c r="D916" s="43" t="str">
        <f t="shared" si="42"/>
        <v/>
      </c>
      <c r="E916" s="44" t="str">
        <f>IF($C916="","",INDEX(Summary!$J$3:$J$7,MATCH($C916,TaskListLeads,FALSE),1))</f>
        <v/>
      </c>
      <c r="F916" s="50"/>
      <c r="G916" s="45" t="str">
        <f t="shared" si="43"/>
        <v/>
      </c>
      <c r="H916" s="50"/>
      <c r="I916" s="45" t="str">
        <f t="shared" si="44"/>
        <v/>
      </c>
      <c r="J916" s="41"/>
    </row>
    <row r="917" spans="2:10" ht="39.950000000000003" customHeight="1" x14ac:dyDescent="0.25">
      <c r="B917" s="41"/>
      <c r="C917" s="42"/>
      <c r="D917" s="43" t="str">
        <f t="shared" si="42"/>
        <v/>
      </c>
      <c r="E917" s="44" t="str">
        <f>IF($C917="","",INDEX(Summary!$J$3:$J$7,MATCH($C917,TaskListLeads,FALSE),1))</f>
        <v/>
      </c>
      <c r="F917" s="50"/>
      <c r="G917" s="45" t="str">
        <f t="shared" si="43"/>
        <v/>
      </c>
      <c r="H917" s="50"/>
      <c r="I917" s="45" t="str">
        <f t="shared" si="44"/>
        <v/>
      </c>
      <c r="J917" s="41"/>
    </row>
    <row r="918" spans="2:10" ht="39.950000000000003" customHeight="1" x14ac:dyDescent="0.25">
      <c r="B918" s="41"/>
      <c r="C918" s="42"/>
      <c r="D918" s="43" t="str">
        <f t="shared" si="42"/>
        <v/>
      </c>
      <c r="E918" s="44" t="str">
        <f>IF($C918="","",INDEX(Summary!$J$3:$J$7,MATCH($C918,TaskListLeads,FALSE),1))</f>
        <v/>
      </c>
      <c r="F918" s="50"/>
      <c r="G918" s="45" t="str">
        <f t="shared" si="43"/>
        <v/>
      </c>
      <c r="H918" s="50"/>
      <c r="I918" s="45" t="str">
        <f t="shared" si="44"/>
        <v/>
      </c>
      <c r="J918" s="41"/>
    </row>
    <row r="919" spans="2:10" ht="39.950000000000003" customHeight="1" x14ac:dyDescent="0.25">
      <c r="B919" s="41"/>
      <c r="C919" s="42"/>
      <c r="D919" s="43" t="str">
        <f t="shared" si="42"/>
        <v/>
      </c>
      <c r="E919" s="44" t="str">
        <f>IF($C919="","",INDEX(Summary!$J$3:$J$7,MATCH($C919,TaskListLeads,FALSE),1))</f>
        <v/>
      </c>
      <c r="F919" s="50"/>
      <c r="G919" s="45" t="str">
        <f t="shared" si="43"/>
        <v/>
      </c>
      <c r="H919" s="50"/>
      <c r="I919" s="45" t="str">
        <f t="shared" si="44"/>
        <v/>
      </c>
      <c r="J919" s="41"/>
    </row>
    <row r="920" spans="2:10" ht="39.950000000000003" customHeight="1" x14ac:dyDescent="0.25">
      <c r="B920" s="41"/>
      <c r="C920" s="42"/>
      <c r="D920" s="43" t="str">
        <f t="shared" si="42"/>
        <v/>
      </c>
      <c r="E920" s="44" t="str">
        <f>IF($C920="","",INDEX(Summary!$J$3:$J$7,MATCH($C920,TaskListLeads,FALSE),1))</f>
        <v/>
      </c>
      <c r="F920" s="50"/>
      <c r="G920" s="45" t="str">
        <f t="shared" si="43"/>
        <v/>
      </c>
      <c r="H920" s="50"/>
      <c r="I920" s="45" t="str">
        <f t="shared" si="44"/>
        <v/>
      </c>
      <c r="J920" s="41"/>
    </row>
    <row r="921" spans="2:10" ht="39.950000000000003" customHeight="1" x14ac:dyDescent="0.25">
      <c r="B921" s="41"/>
      <c r="C921" s="42"/>
      <c r="D921" s="43" t="str">
        <f t="shared" si="42"/>
        <v/>
      </c>
      <c r="E921" s="44" t="str">
        <f>IF($C921="","",INDEX(Summary!$J$3:$J$7,MATCH($C921,TaskListLeads,FALSE),1))</f>
        <v/>
      </c>
      <c r="F921" s="50"/>
      <c r="G921" s="45" t="str">
        <f t="shared" si="43"/>
        <v/>
      </c>
      <c r="H921" s="50"/>
      <c r="I921" s="45" t="str">
        <f t="shared" si="44"/>
        <v/>
      </c>
      <c r="J921" s="41"/>
    </row>
    <row r="922" spans="2:10" ht="39.950000000000003" customHeight="1" x14ac:dyDescent="0.25">
      <c r="B922" s="41"/>
      <c r="C922" s="42"/>
      <c r="D922" s="43" t="str">
        <f t="shared" si="42"/>
        <v/>
      </c>
      <c r="E922" s="44" t="str">
        <f>IF($C922="","",INDEX(Summary!$J$3:$J$7,MATCH($C922,TaskListLeads,FALSE),1))</f>
        <v/>
      </c>
      <c r="F922" s="50"/>
      <c r="G922" s="45" t="str">
        <f t="shared" si="43"/>
        <v/>
      </c>
      <c r="H922" s="50"/>
      <c r="I922" s="45" t="str">
        <f t="shared" si="44"/>
        <v/>
      </c>
      <c r="J922" s="41"/>
    </row>
    <row r="923" spans="2:10" ht="39.950000000000003" customHeight="1" x14ac:dyDescent="0.25">
      <c r="B923" s="41"/>
      <c r="C923" s="42"/>
      <c r="D923" s="43" t="str">
        <f t="shared" si="42"/>
        <v/>
      </c>
      <c r="E923" s="44" t="str">
        <f>IF($C923="","",INDEX(Summary!$J$3:$J$7,MATCH($C923,TaskListLeads,FALSE),1))</f>
        <v/>
      </c>
      <c r="F923" s="50"/>
      <c r="G923" s="45" t="str">
        <f t="shared" si="43"/>
        <v/>
      </c>
      <c r="H923" s="50"/>
      <c r="I923" s="45" t="str">
        <f t="shared" si="44"/>
        <v/>
      </c>
      <c r="J923" s="41"/>
    </row>
    <row r="924" spans="2:10" ht="39.950000000000003" customHeight="1" x14ac:dyDescent="0.25">
      <c r="B924" s="41"/>
      <c r="C924" s="42"/>
      <c r="D924" s="43" t="str">
        <f t="shared" si="42"/>
        <v/>
      </c>
      <c r="E924" s="44" t="str">
        <f>IF($C924="","",INDEX(Summary!$J$3:$J$7,MATCH($C924,TaskListLeads,FALSE),1))</f>
        <v/>
      </c>
      <c r="F924" s="50"/>
      <c r="G924" s="45" t="str">
        <f t="shared" si="43"/>
        <v/>
      </c>
      <c r="H924" s="50"/>
      <c r="I924" s="45" t="str">
        <f t="shared" si="44"/>
        <v/>
      </c>
      <c r="J924" s="41"/>
    </row>
    <row r="925" spans="2:10" ht="39.950000000000003" customHeight="1" x14ac:dyDescent="0.25">
      <c r="B925" s="41"/>
      <c r="C925" s="42"/>
      <c r="D925" s="43" t="str">
        <f t="shared" si="42"/>
        <v/>
      </c>
      <c r="E925" s="44" t="str">
        <f>IF($C925="","",INDEX(Summary!$J$3:$J$7,MATCH($C925,TaskListLeads,FALSE),1))</f>
        <v/>
      </c>
      <c r="F925" s="50"/>
      <c r="G925" s="45" t="str">
        <f t="shared" si="43"/>
        <v/>
      </c>
      <c r="H925" s="50"/>
      <c r="I925" s="45" t="str">
        <f t="shared" si="44"/>
        <v/>
      </c>
      <c r="J925" s="41"/>
    </row>
    <row r="926" spans="2:10" ht="39.950000000000003" customHeight="1" x14ac:dyDescent="0.25">
      <c r="B926" s="41"/>
      <c r="C926" s="42"/>
      <c r="D926" s="43" t="str">
        <f t="shared" si="42"/>
        <v/>
      </c>
      <c r="E926" s="44" t="str">
        <f>IF($C926="","",INDEX(Summary!$J$3:$J$7,MATCH($C926,TaskListLeads,FALSE),1))</f>
        <v/>
      </c>
      <c r="F926" s="50"/>
      <c r="G926" s="45" t="str">
        <f t="shared" si="43"/>
        <v/>
      </c>
      <c r="H926" s="50"/>
      <c r="I926" s="45" t="str">
        <f t="shared" si="44"/>
        <v/>
      </c>
      <c r="J926" s="41"/>
    </row>
    <row r="927" spans="2:10" ht="39.950000000000003" customHeight="1" x14ac:dyDescent="0.25">
      <c r="B927" s="41"/>
      <c r="C927" s="42"/>
      <c r="D927" s="43" t="str">
        <f t="shared" si="42"/>
        <v/>
      </c>
      <c r="E927" s="44" t="str">
        <f>IF($C927="","",INDEX(Summary!$J$3:$J$7,MATCH($C927,TaskListLeads,FALSE),1))</f>
        <v/>
      </c>
      <c r="F927" s="50"/>
      <c r="G927" s="45" t="str">
        <f t="shared" si="43"/>
        <v/>
      </c>
      <c r="H927" s="50"/>
      <c r="I927" s="45" t="str">
        <f t="shared" si="44"/>
        <v/>
      </c>
      <c r="J927" s="41"/>
    </row>
    <row r="928" spans="2:10" ht="39.950000000000003" customHeight="1" x14ac:dyDescent="0.25">
      <c r="B928" s="41"/>
      <c r="C928" s="42"/>
      <c r="D928" s="43" t="str">
        <f t="shared" si="42"/>
        <v/>
      </c>
      <c r="E928" s="44" t="str">
        <f>IF($C928="","",INDEX(Summary!$J$3:$J$7,MATCH($C928,TaskListLeads,FALSE),1))</f>
        <v/>
      </c>
      <c r="F928" s="50"/>
      <c r="G928" s="45" t="str">
        <f t="shared" si="43"/>
        <v/>
      </c>
      <c r="H928" s="50"/>
      <c r="I928" s="45" t="str">
        <f t="shared" si="44"/>
        <v/>
      </c>
      <c r="J928" s="41"/>
    </row>
    <row r="929" spans="2:10" ht="39.950000000000003" customHeight="1" x14ac:dyDescent="0.25">
      <c r="B929" s="41"/>
      <c r="C929" s="42"/>
      <c r="D929" s="43" t="str">
        <f t="shared" si="42"/>
        <v/>
      </c>
      <c r="E929" s="44" t="str">
        <f>IF($C929="","",INDEX(Summary!$J$3:$J$7,MATCH($C929,TaskListLeads,FALSE),1))</f>
        <v/>
      </c>
      <c r="F929" s="50"/>
      <c r="G929" s="45" t="str">
        <f t="shared" si="43"/>
        <v/>
      </c>
      <c r="H929" s="50"/>
      <c r="I929" s="45" t="str">
        <f t="shared" si="44"/>
        <v/>
      </c>
      <c r="J929" s="41"/>
    </row>
    <row r="930" spans="2:10" ht="39.950000000000003" customHeight="1" x14ac:dyDescent="0.25">
      <c r="B930" s="41"/>
      <c r="C930" s="42"/>
      <c r="D930" s="43" t="str">
        <f t="shared" si="42"/>
        <v/>
      </c>
      <c r="E930" s="44" t="str">
        <f>IF($C930="","",INDEX(Summary!$J$3:$J$7,MATCH($C930,TaskListLeads,FALSE),1))</f>
        <v/>
      </c>
      <c r="F930" s="50"/>
      <c r="G930" s="45" t="str">
        <f t="shared" si="43"/>
        <v/>
      </c>
      <c r="H930" s="50"/>
      <c r="I930" s="45" t="str">
        <f t="shared" si="44"/>
        <v/>
      </c>
      <c r="J930" s="41"/>
    </row>
    <row r="931" spans="2:10" ht="39.950000000000003" customHeight="1" x14ac:dyDescent="0.25">
      <c r="B931" s="41"/>
      <c r="C931" s="42"/>
      <c r="D931" s="43" t="str">
        <f t="shared" si="42"/>
        <v/>
      </c>
      <c r="E931" s="44" t="str">
        <f>IF($C931="","",INDEX(Summary!$J$3:$J$7,MATCH($C931,TaskListLeads,FALSE),1))</f>
        <v/>
      </c>
      <c r="F931" s="50"/>
      <c r="G931" s="45" t="str">
        <f t="shared" si="43"/>
        <v/>
      </c>
      <c r="H931" s="50"/>
      <c r="I931" s="45" t="str">
        <f t="shared" si="44"/>
        <v/>
      </c>
      <c r="J931" s="41"/>
    </row>
    <row r="932" spans="2:10" ht="39.950000000000003" customHeight="1" x14ac:dyDescent="0.25">
      <c r="B932" s="41"/>
      <c r="C932" s="42"/>
      <c r="D932" s="43" t="str">
        <f t="shared" si="42"/>
        <v/>
      </c>
      <c r="E932" s="44" t="str">
        <f>IF($C932="","",INDEX(Summary!$J$3:$J$7,MATCH($C932,TaskListLeads,FALSE),1))</f>
        <v/>
      </c>
      <c r="F932" s="50"/>
      <c r="G932" s="45" t="str">
        <f t="shared" si="43"/>
        <v/>
      </c>
      <c r="H932" s="50"/>
      <c r="I932" s="45" t="str">
        <f t="shared" si="44"/>
        <v/>
      </c>
      <c r="J932" s="41"/>
    </row>
    <row r="933" spans="2:10" ht="39.950000000000003" customHeight="1" x14ac:dyDescent="0.25">
      <c r="B933" s="41"/>
      <c r="C933" s="42"/>
      <c r="D933" s="43" t="str">
        <f t="shared" si="42"/>
        <v/>
      </c>
      <c r="E933" s="44" t="str">
        <f>IF($C933="","",INDEX(Summary!$J$3:$J$7,MATCH($C933,TaskListLeads,FALSE),1))</f>
        <v/>
      </c>
      <c r="F933" s="50"/>
      <c r="G933" s="45" t="str">
        <f t="shared" si="43"/>
        <v/>
      </c>
      <c r="H933" s="50"/>
      <c r="I933" s="45" t="str">
        <f t="shared" si="44"/>
        <v/>
      </c>
      <c r="J933" s="41"/>
    </row>
    <row r="934" spans="2:10" ht="39.950000000000003" customHeight="1" x14ac:dyDescent="0.25">
      <c r="B934" s="41"/>
      <c r="C934" s="42"/>
      <c r="D934" s="43" t="str">
        <f t="shared" si="42"/>
        <v/>
      </c>
      <c r="E934" s="44" t="str">
        <f>IF($C934="","",INDEX(Summary!$J$3:$J$7,MATCH($C934,TaskListLeads,FALSE),1))</f>
        <v/>
      </c>
      <c r="F934" s="50"/>
      <c r="G934" s="45" t="str">
        <f t="shared" si="43"/>
        <v/>
      </c>
      <c r="H934" s="50"/>
      <c r="I934" s="45" t="str">
        <f t="shared" si="44"/>
        <v/>
      </c>
      <c r="J934" s="41"/>
    </row>
    <row r="935" spans="2:10" ht="39.950000000000003" customHeight="1" x14ac:dyDescent="0.25">
      <c r="B935" s="41"/>
      <c r="C935" s="42"/>
      <c r="D935" s="43" t="str">
        <f t="shared" si="42"/>
        <v/>
      </c>
      <c r="E935" s="44" t="str">
        <f>IF($C935="","",INDEX(Summary!$J$3:$J$7,MATCH($C935,TaskListLeads,FALSE),1))</f>
        <v/>
      </c>
      <c r="F935" s="50"/>
      <c r="G935" s="45" t="str">
        <f t="shared" si="43"/>
        <v/>
      </c>
      <c r="H935" s="50"/>
      <c r="I935" s="45" t="str">
        <f t="shared" si="44"/>
        <v/>
      </c>
      <c r="J935" s="41"/>
    </row>
    <row r="936" spans="2:10" ht="39.950000000000003" customHeight="1" x14ac:dyDescent="0.25">
      <c r="B936" s="41"/>
      <c r="C936" s="42"/>
      <c r="D936" s="43" t="str">
        <f t="shared" si="42"/>
        <v/>
      </c>
      <c r="E936" s="44" t="str">
        <f>IF($C936="","",INDEX(Summary!$J$3:$J$7,MATCH($C936,TaskListLeads,FALSE),1))</f>
        <v/>
      </c>
      <c r="F936" s="50"/>
      <c r="G936" s="45" t="str">
        <f t="shared" si="43"/>
        <v/>
      </c>
      <c r="H936" s="50"/>
      <c r="I936" s="45" t="str">
        <f t="shared" si="44"/>
        <v/>
      </c>
      <c r="J936" s="41"/>
    </row>
    <row r="937" spans="2:10" ht="39.950000000000003" customHeight="1" x14ac:dyDescent="0.25">
      <c r="B937" s="41"/>
      <c r="C937" s="42"/>
      <c r="D937" s="43" t="str">
        <f t="shared" si="42"/>
        <v/>
      </c>
      <c r="E937" s="44" t="str">
        <f>IF($C937="","",INDEX(Summary!$J$3:$J$7,MATCH($C937,TaskListLeads,FALSE),1))</f>
        <v/>
      </c>
      <c r="F937" s="50"/>
      <c r="G937" s="45" t="str">
        <f t="shared" si="43"/>
        <v/>
      </c>
      <c r="H937" s="50"/>
      <c r="I937" s="45" t="str">
        <f t="shared" si="44"/>
        <v/>
      </c>
      <c r="J937" s="41"/>
    </row>
    <row r="938" spans="2:10" ht="39.950000000000003" customHeight="1" x14ac:dyDescent="0.25">
      <c r="B938" s="41"/>
      <c r="C938" s="42"/>
      <c r="D938" s="43" t="str">
        <f t="shared" si="42"/>
        <v/>
      </c>
      <c r="E938" s="44" t="str">
        <f>IF($C938="","",INDEX(Summary!$J$3:$J$7,MATCH($C938,TaskListLeads,FALSE),1))</f>
        <v/>
      </c>
      <c r="F938" s="50"/>
      <c r="G938" s="45" t="str">
        <f t="shared" si="43"/>
        <v/>
      </c>
      <c r="H938" s="50"/>
      <c r="I938" s="45" t="str">
        <f t="shared" si="44"/>
        <v/>
      </c>
      <c r="J938" s="41"/>
    </row>
    <row r="939" spans="2:10" ht="39.950000000000003" customHeight="1" x14ac:dyDescent="0.25">
      <c r="B939" s="41"/>
      <c r="C939" s="42"/>
      <c r="D939" s="43" t="str">
        <f t="shared" si="42"/>
        <v/>
      </c>
      <c r="E939" s="44" t="str">
        <f>IF($C939="","",INDEX(Summary!$J$3:$J$7,MATCH($C939,TaskListLeads,FALSE),1))</f>
        <v/>
      </c>
      <c r="F939" s="50"/>
      <c r="G939" s="45" t="str">
        <f t="shared" si="43"/>
        <v/>
      </c>
      <c r="H939" s="50"/>
      <c r="I939" s="45" t="str">
        <f t="shared" si="44"/>
        <v/>
      </c>
      <c r="J939" s="41"/>
    </row>
    <row r="940" spans="2:10" ht="39.950000000000003" customHeight="1" x14ac:dyDescent="0.25">
      <c r="B940" s="41"/>
      <c r="C940" s="42"/>
      <c r="D940" s="43" t="str">
        <f t="shared" si="42"/>
        <v/>
      </c>
      <c r="E940" s="44" t="str">
        <f>IF($C940="","",INDEX(Summary!$J$3:$J$7,MATCH($C940,TaskListLeads,FALSE),1))</f>
        <v/>
      </c>
      <c r="F940" s="50"/>
      <c r="G940" s="45" t="str">
        <f t="shared" si="43"/>
        <v/>
      </c>
      <c r="H940" s="50"/>
      <c r="I940" s="45" t="str">
        <f t="shared" si="44"/>
        <v/>
      </c>
      <c r="J940" s="41"/>
    </row>
    <row r="941" spans="2:10" ht="39.950000000000003" customHeight="1" x14ac:dyDescent="0.25">
      <c r="B941" s="41"/>
      <c r="C941" s="42"/>
      <c r="D941" s="43" t="str">
        <f t="shared" si="42"/>
        <v/>
      </c>
      <c r="E941" s="44" t="str">
        <f>IF($C941="","",INDEX(Summary!$J$3:$J$7,MATCH($C941,TaskListLeads,FALSE),1))</f>
        <v/>
      </c>
      <c r="F941" s="50"/>
      <c r="G941" s="45" t="str">
        <f t="shared" si="43"/>
        <v/>
      </c>
      <c r="H941" s="50"/>
      <c r="I941" s="45" t="str">
        <f t="shared" si="44"/>
        <v/>
      </c>
      <c r="J941" s="41"/>
    </row>
    <row r="942" spans="2:10" ht="39.950000000000003" customHeight="1" x14ac:dyDescent="0.25">
      <c r="B942" s="41"/>
      <c r="C942" s="42"/>
      <c r="D942" s="43" t="str">
        <f t="shared" si="42"/>
        <v/>
      </c>
      <c r="E942" s="44" t="str">
        <f>IF($C942="","",INDEX(Summary!$J$3:$J$7,MATCH($C942,TaskListLeads,FALSE),1))</f>
        <v/>
      </c>
      <c r="F942" s="50"/>
      <c r="G942" s="45" t="str">
        <f t="shared" si="43"/>
        <v/>
      </c>
      <c r="H942" s="50"/>
      <c r="I942" s="45" t="str">
        <f t="shared" si="44"/>
        <v/>
      </c>
      <c r="J942" s="41"/>
    </row>
    <row r="943" spans="2:10" ht="39.950000000000003" customHeight="1" x14ac:dyDescent="0.25">
      <c r="B943" s="41"/>
      <c r="C943" s="42"/>
      <c r="D943" s="43" t="str">
        <f t="shared" si="42"/>
        <v/>
      </c>
      <c r="E943" s="44" t="str">
        <f>IF($C943="","",INDEX(Summary!$J$3:$J$7,MATCH($C943,TaskListLeads,FALSE),1))</f>
        <v/>
      </c>
      <c r="F943" s="50"/>
      <c r="G943" s="45" t="str">
        <f t="shared" si="43"/>
        <v/>
      </c>
      <c r="H943" s="50"/>
      <c r="I943" s="45" t="str">
        <f t="shared" si="44"/>
        <v/>
      </c>
      <c r="J943" s="41"/>
    </row>
    <row r="944" spans="2:10" ht="39.950000000000003" customHeight="1" x14ac:dyDescent="0.25">
      <c r="B944" s="41"/>
      <c r="C944" s="42"/>
      <c r="D944" s="43" t="str">
        <f t="shared" si="42"/>
        <v/>
      </c>
      <c r="E944" s="44" t="str">
        <f>IF($C944="","",INDEX(Summary!$J$3:$J$7,MATCH($C944,TaskListLeads,FALSE),1))</f>
        <v/>
      </c>
      <c r="F944" s="50"/>
      <c r="G944" s="45" t="str">
        <f t="shared" si="43"/>
        <v/>
      </c>
      <c r="H944" s="50"/>
      <c r="I944" s="45" t="str">
        <f t="shared" si="44"/>
        <v/>
      </c>
      <c r="J944" s="41"/>
    </row>
    <row r="945" spans="2:10" ht="39.950000000000003" customHeight="1" x14ac:dyDescent="0.25">
      <c r="B945" s="41"/>
      <c r="C945" s="42"/>
      <c r="D945" s="43" t="str">
        <f t="shared" si="42"/>
        <v/>
      </c>
      <c r="E945" s="44" t="str">
        <f>IF($C945="","",INDEX(Summary!$J$3:$J$7,MATCH($C945,TaskListLeads,FALSE),1))</f>
        <v/>
      </c>
      <c r="F945" s="50"/>
      <c r="G945" s="45" t="str">
        <f t="shared" si="43"/>
        <v/>
      </c>
      <c r="H945" s="50"/>
      <c r="I945" s="45" t="str">
        <f t="shared" si="44"/>
        <v/>
      </c>
      <c r="J945" s="41"/>
    </row>
    <row r="946" spans="2:10" ht="39.950000000000003" customHeight="1" x14ac:dyDescent="0.25">
      <c r="B946" s="41"/>
      <c r="C946" s="42"/>
      <c r="D946" s="43" t="str">
        <f t="shared" si="42"/>
        <v/>
      </c>
      <c r="E946" s="44" t="str">
        <f>IF($C946="","",INDEX(Summary!$J$3:$J$7,MATCH($C946,TaskListLeads,FALSE),1))</f>
        <v/>
      </c>
      <c r="F946" s="50"/>
      <c r="G946" s="45" t="str">
        <f t="shared" si="43"/>
        <v/>
      </c>
      <c r="H946" s="50"/>
      <c r="I946" s="45" t="str">
        <f t="shared" si="44"/>
        <v/>
      </c>
      <c r="J946" s="41"/>
    </row>
    <row r="947" spans="2:10" ht="39.950000000000003" customHeight="1" x14ac:dyDescent="0.25">
      <c r="B947" s="41"/>
      <c r="C947" s="42"/>
      <c r="D947" s="43" t="str">
        <f t="shared" si="42"/>
        <v/>
      </c>
      <c r="E947" s="44" t="str">
        <f>IF($C947="","",INDEX(Summary!$J$3:$J$7,MATCH($C947,TaskListLeads,FALSE),1))</f>
        <v/>
      </c>
      <c r="F947" s="50"/>
      <c r="G947" s="45" t="str">
        <f t="shared" si="43"/>
        <v/>
      </c>
      <c r="H947" s="50"/>
      <c r="I947" s="45" t="str">
        <f t="shared" si="44"/>
        <v/>
      </c>
      <c r="J947" s="41"/>
    </row>
    <row r="948" spans="2:10" ht="39.950000000000003" customHeight="1" x14ac:dyDescent="0.25">
      <c r="B948" s="41"/>
      <c r="C948" s="42"/>
      <c r="D948" s="43" t="str">
        <f t="shared" si="42"/>
        <v/>
      </c>
      <c r="E948" s="44" t="str">
        <f>IF($C948="","",INDEX(Summary!$J$3:$J$7,MATCH($C948,TaskListLeads,FALSE),1))</f>
        <v/>
      </c>
      <c r="F948" s="50"/>
      <c r="G948" s="45" t="str">
        <f t="shared" si="43"/>
        <v/>
      </c>
      <c r="H948" s="50"/>
      <c r="I948" s="45" t="str">
        <f t="shared" si="44"/>
        <v/>
      </c>
      <c r="J948" s="41"/>
    </row>
    <row r="949" spans="2:10" ht="39.950000000000003" customHeight="1" x14ac:dyDescent="0.25">
      <c r="B949" s="41"/>
      <c r="C949" s="42"/>
      <c r="D949" s="43" t="str">
        <f t="shared" si="42"/>
        <v/>
      </c>
      <c r="E949" s="44" t="str">
        <f>IF($C949="","",INDEX(Summary!$J$3:$J$7,MATCH($C949,TaskListLeads,FALSE),1))</f>
        <v/>
      </c>
      <c r="F949" s="50"/>
      <c r="G949" s="45" t="str">
        <f t="shared" si="43"/>
        <v/>
      </c>
      <c r="H949" s="50"/>
      <c r="I949" s="45" t="str">
        <f t="shared" si="44"/>
        <v/>
      </c>
      <c r="J949" s="41"/>
    </row>
    <row r="950" spans="2:10" ht="39.950000000000003" customHeight="1" x14ac:dyDescent="0.25">
      <c r="B950" s="41"/>
      <c r="C950" s="42"/>
      <c r="D950" s="43" t="str">
        <f t="shared" si="42"/>
        <v/>
      </c>
      <c r="E950" s="44" t="str">
        <f>IF($C950="","",INDEX(Summary!$J$3:$J$7,MATCH($C950,TaskListLeads,FALSE),1))</f>
        <v/>
      </c>
      <c r="F950" s="50"/>
      <c r="G950" s="45" t="str">
        <f t="shared" si="43"/>
        <v/>
      </c>
      <c r="H950" s="50"/>
      <c r="I950" s="45" t="str">
        <f t="shared" si="44"/>
        <v/>
      </c>
      <c r="J950" s="41"/>
    </row>
    <row r="951" spans="2:10" ht="39.950000000000003" customHeight="1" x14ac:dyDescent="0.25">
      <c r="B951" s="41"/>
      <c r="C951" s="42"/>
      <c r="D951" s="43" t="str">
        <f t="shared" si="42"/>
        <v/>
      </c>
      <c r="E951" s="44" t="str">
        <f>IF($C951="","",INDEX(Summary!$J$3:$J$7,MATCH($C951,TaskListLeads,FALSE),1))</f>
        <v/>
      </c>
      <c r="F951" s="50"/>
      <c r="G951" s="45" t="str">
        <f t="shared" si="43"/>
        <v/>
      </c>
      <c r="H951" s="50"/>
      <c r="I951" s="45" t="str">
        <f t="shared" si="44"/>
        <v/>
      </c>
      <c r="J951" s="41"/>
    </row>
    <row r="952" spans="2:10" ht="39.950000000000003" customHeight="1" x14ac:dyDescent="0.25">
      <c r="B952" s="41"/>
      <c r="C952" s="42"/>
      <c r="D952" s="43" t="str">
        <f t="shared" si="42"/>
        <v/>
      </c>
      <c r="E952" s="44" t="str">
        <f>IF($C952="","",INDEX(Summary!$J$3:$J$7,MATCH($C952,TaskListLeads,FALSE),1))</f>
        <v/>
      </c>
      <c r="F952" s="50"/>
      <c r="G952" s="45" t="str">
        <f t="shared" si="43"/>
        <v/>
      </c>
      <c r="H952" s="50"/>
      <c r="I952" s="45" t="str">
        <f t="shared" si="44"/>
        <v/>
      </c>
      <c r="J952" s="41"/>
    </row>
    <row r="953" spans="2:10" ht="39.950000000000003" customHeight="1" x14ac:dyDescent="0.25">
      <c r="B953" s="41"/>
      <c r="C953" s="42"/>
      <c r="D953" s="43" t="str">
        <f t="shared" si="42"/>
        <v/>
      </c>
      <c r="E953" s="44" t="str">
        <f>IF($C953="","",INDEX(Summary!$J$3:$J$7,MATCH($C953,TaskListLeads,FALSE),1))</f>
        <v/>
      </c>
      <c r="F953" s="50"/>
      <c r="G953" s="45" t="str">
        <f t="shared" si="43"/>
        <v/>
      </c>
      <c r="H953" s="50"/>
      <c r="I953" s="45" t="str">
        <f t="shared" si="44"/>
        <v/>
      </c>
      <c r="J953" s="41"/>
    </row>
    <row r="954" spans="2:10" ht="39.950000000000003" customHeight="1" x14ac:dyDescent="0.25">
      <c r="B954" s="41"/>
      <c r="C954" s="42"/>
      <c r="D954" s="43" t="str">
        <f t="shared" si="42"/>
        <v/>
      </c>
      <c r="E954" s="44" t="str">
        <f>IF($C954="","",INDEX(Summary!$J$3:$J$7,MATCH($C954,TaskListLeads,FALSE),1))</f>
        <v/>
      </c>
      <c r="F954" s="50"/>
      <c r="G954" s="45" t="str">
        <f t="shared" si="43"/>
        <v/>
      </c>
      <c r="H954" s="50"/>
      <c r="I954" s="45" t="str">
        <f t="shared" si="44"/>
        <v/>
      </c>
      <c r="J954" s="41"/>
    </row>
    <row r="955" spans="2:10" ht="39.950000000000003" customHeight="1" x14ac:dyDescent="0.25">
      <c r="B955" s="41"/>
      <c r="C955" s="42"/>
      <c r="D955" s="43" t="str">
        <f t="shared" si="42"/>
        <v/>
      </c>
      <c r="E955" s="44" t="str">
        <f>IF($C955="","",INDEX(Summary!$J$3:$J$7,MATCH($C955,TaskListLeads,FALSE),1))</f>
        <v/>
      </c>
      <c r="F955" s="50"/>
      <c r="G955" s="45" t="str">
        <f t="shared" si="43"/>
        <v/>
      </c>
      <c r="H955" s="50"/>
      <c r="I955" s="45" t="str">
        <f t="shared" si="44"/>
        <v/>
      </c>
      <c r="J955" s="41"/>
    </row>
    <row r="956" spans="2:10" ht="39.950000000000003" customHeight="1" x14ac:dyDescent="0.25">
      <c r="B956" s="41"/>
      <c r="C956" s="42"/>
      <c r="D956" s="43" t="str">
        <f t="shared" si="42"/>
        <v/>
      </c>
      <c r="E956" s="44" t="str">
        <f>IF($C956="","",INDEX(Summary!$J$3:$J$7,MATCH($C956,TaskListLeads,FALSE),1))</f>
        <v/>
      </c>
      <c r="F956" s="50"/>
      <c r="G956" s="45" t="str">
        <f t="shared" si="43"/>
        <v/>
      </c>
      <c r="H956" s="50"/>
      <c r="I956" s="45" t="str">
        <f t="shared" si="44"/>
        <v/>
      </c>
      <c r="J956" s="41"/>
    </row>
    <row r="957" spans="2:10" ht="39.950000000000003" customHeight="1" x14ac:dyDescent="0.25">
      <c r="B957" s="41"/>
      <c r="C957" s="42"/>
      <c r="D957" s="43" t="str">
        <f t="shared" si="42"/>
        <v/>
      </c>
      <c r="E957" s="44" t="str">
        <f>IF($C957="","",INDEX(Summary!$J$3:$J$7,MATCH($C957,TaskListLeads,FALSE),1))</f>
        <v/>
      </c>
      <c r="F957" s="50"/>
      <c r="G957" s="45" t="str">
        <f t="shared" si="43"/>
        <v/>
      </c>
      <c r="H957" s="50"/>
      <c r="I957" s="45" t="str">
        <f t="shared" si="44"/>
        <v/>
      </c>
      <c r="J957" s="41"/>
    </row>
    <row r="958" spans="2:10" ht="39.950000000000003" customHeight="1" x14ac:dyDescent="0.25">
      <c r="B958" s="41"/>
      <c r="C958" s="42"/>
      <c r="D958" s="43" t="str">
        <f t="shared" si="42"/>
        <v/>
      </c>
      <c r="E958" s="44" t="str">
        <f>IF($C958="","",INDEX(Summary!$J$3:$J$7,MATCH($C958,TaskListLeads,FALSE),1))</f>
        <v/>
      </c>
      <c r="F958" s="50"/>
      <c r="G958" s="45" t="str">
        <f t="shared" si="43"/>
        <v/>
      </c>
      <c r="H958" s="50"/>
      <c r="I958" s="45" t="str">
        <f t="shared" si="44"/>
        <v/>
      </c>
      <c r="J958" s="41"/>
    </row>
    <row r="959" spans="2:10" ht="39.950000000000003" customHeight="1" x14ac:dyDescent="0.25">
      <c r="B959" s="41"/>
      <c r="C959" s="42"/>
      <c r="D959" s="43" t="str">
        <f t="shared" si="42"/>
        <v/>
      </c>
      <c r="E959" s="44" t="str">
        <f>IF($C959="","",INDEX(Summary!$J$3:$J$7,MATCH($C959,TaskListLeads,FALSE),1))</f>
        <v/>
      </c>
      <c r="F959" s="50"/>
      <c r="G959" s="45" t="str">
        <f t="shared" si="43"/>
        <v/>
      </c>
      <c r="H959" s="50"/>
      <c r="I959" s="45" t="str">
        <f t="shared" si="44"/>
        <v/>
      </c>
      <c r="J959" s="41"/>
    </row>
    <row r="960" spans="2:10" ht="39.950000000000003" customHeight="1" x14ac:dyDescent="0.25">
      <c r="B960" s="41"/>
      <c r="C960" s="42"/>
      <c r="D960" s="43" t="str">
        <f t="shared" si="42"/>
        <v/>
      </c>
      <c r="E960" s="44" t="str">
        <f>IF($C960="","",INDEX(Summary!$J$3:$J$7,MATCH($C960,TaskListLeads,FALSE),1))</f>
        <v/>
      </c>
      <c r="F960" s="50"/>
      <c r="G960" s="45" t="str">
        <f t="shared" si="43"/>
        <v/>
      </c>
      <c r="H960" s="50"/>
      <c r="I960" s="45" t="str">
        <f t="shared" si="44"/>
        <v/>
      </c>
      <c r="J960" s="41"/>
    </row>
    <row r="961" spans="2:10" ht="39.950000000000003" customHeight="1" x14ac:dyDescent="0.25">
      <c r="B961" s="41"/>
      <c r="C961" s="42"/>
      <c r="D961" s="43" t="str">
        <f t="shared" si="42"/>
        <v/>
      </c>
      <c r="E961" s="44" t="str">
        <f>IF($C961="","",INDEX(Summary!$J$3:$J$7,MATCH($C961,TaskListLeads,FALSE),1))</f>
        <v/>
      </c>
      <c r="F961" s="50"/>
      <c r="G961" s="45" t="str">
        <f t="shared" si="43"/>
        <v/>
      </c>
      <c r="H961" s="50"/>
      <c r="I961" s="45" t="str">
        <f t="shared" si="44"/>
        <v/>
      </c>
      <c r="J961" s="41"/>
    </row>
    <row r="962" spans="2:10" ht="39.950000000000003" customHeight="1" x14ac:dyDescent="0.25">
      <c r="B962" s="41"/>
      <c r="C962" s="42"/>
      <c r="D962" s="43" t="str">
        <f t="shared" si="42"/>
        <v/>
      </c>
      <c r="E962" s="44" t="str">
        <f>IF($C962="","",INDEX(Summary!$J$3:$J$7,MATCH($C962,TaskListLeads,FALSE),1))</f>
        <v/>
      </c>
      <c r="F962" s="50"/>
      <c r="G962" s="45" t="str">
        <f t="shared" si="43"/>
        <v/>
      </c>
      <c r="H962" s="50"/>
      <c r="I962" s="45" t="str">
        <f t="shared" si="44"/>
        <v/>
      </c>
      <c r="J962" s="41"/>
    </row>
    <row r="963" spans="2:10" ht="39.950000000000003" customHeight="1" x14ac:dyDescent="0.25">
      <c r="B963" s="41"/>
      <c r="C963" s="42"/>
      <c r="D963" s="43" t="str">
        <f t="shared" si="42"/>
        <v/>
      </c>
      <c r="E963" s="44" t="str">
        <f>IF($C963="","",INDEX(Summary!$J$3:$J$7,MATCH($C963,TaskListLeads,FALSE),1))</f>
        <v/>
      </c>
      <c r="F963" s="50"/>
      <c r="G963" s="45" t="str">
        <f t="shared" si="43"/>
        <v/>
      </c>
      <c r="H963" s="50"/>
      <c r="I963" s="45" t="str">
        <f t="shared" si="44"/>
        <v/>
      </c>
      <c r="J963" s="41"/>
    </row>
    <row r="964" spans="2:10" ht="39.950000000000003" customHeight="1" x14ac:dyDescent="0.25">
      <c r="B964" s="41"/>
      <c r="C964" s="42"/>
      <c r="D964" s="43" t="str">
        <f t="shared" si="42"/>
        <v/>
      </c>
      <c r="E964" s="44" t="str">
        <f>IF($C964="","",INDEX(Summary!$J$3:$J$7,MATCH($C964,TaskListLeads,FALSE),1))</f>
        <v/>
      </c>
      <c r="F964" s="50"/>
      <c r="G964" s="45" t="str">
        <f t="shared" si="43"/>
        <v/>
      </c>
      <c r="H964" s="50"/>
      <c r="I964" s="45" t="str">
        <f t="shared" si="44"/>
        <v/>
      </c>
      <c r="J964" s="41"/>
    </row>
    <row r="965" spans="2:10" ht="39.950000000000003" customHeight="1" x14ac:dyDescent="0.25">
      <c r="B965" s="41"/>
      <c r="C965" s="42"/>
      <c r="D965" s="43" t="str">
        <f t="shared" si="42"/>
        <v/>
      </c>
      <c r="E965" s="44" t="str">
        <f>IF($C965="","",INDEX(Summary!$J$3:$J$7,MATCH($C965,TaskListLeads,FALSE),1))</f>
        <v/>
      </c>
      <c r="F965" s="50"/>
      <c r="G965" s="45" t="str">
        <f t="shared" si="43"/>
        <v/>
      </c>
      <c r="H965" s="50"/>
      <c r="I965" s="45" t="str">
        <f t="shared" si="44"/>
        <v/>
      </c>
      <c r="J965" s="41"/>
    </row>
    <row r="966" spans="2:10" ht="39.950000000000003" customHeight="1" x14ac:dyDescent="0.25">
      <c r="B966" s="41"/>
      <c r="C966" s="42"/>
      <c r="D966" s="43" t="str">
        <f t="shared" si="42"/>
        <v/>
      </c>
      <c r="E966" s="44" t="str">
        <f>IF($C966="","",INDEX(Summary!$J$3:$J$7,MATCH($C966,TaskListLeads,FALSE),1))</f>
        <v/>
      </c>
      <c r="F966" s="50"/>
      <c r="G966" s="45" t="str">
        <f t="shared" si="43"/>
        <v/>
      </c>
      <c r="H966" s="50"/>
      <c r="I966" s="45" t="str">
        <f t="shared" si="44"/>
        <v/>
      </c>
      <c r="J966" s="41"/>
    </row>
    <row r="967" spans="2:10" ht="39.950000000000003" customHeight="1" x14ac:dyDescent="0.25">
      <c r="B967" s="41"/>
      <c r="C967" s="42"/>
      <c r="D967" s="43" t="str">
        <f t="shared" si="42"/>
        <v/>
      </c>
      <c r="E967" s="44" t="str">
        <f>IF($C967="","",INDEX(Summary!$J$3:$J$7,MATCH($C967,TaskListLeads,FALSE),1))</f>
        <v/>
      </c>
      <c r="F967" s="50"/>
      <c r="G967" s="45" t="str">
        <f t="shared" si="43"/>
        <v/>
      </c>
      <c r="H967" s="50"/>
      <c r="I967" s="45" t="str">
        <f t="shared" si="44"/>
        <v/>
      </c>
      <c r="J967" s="41"/>
    </row>
    <row r="968" spans="2:10" ht="39.950000000000003" customHeight="1" x14ac:dyDescent="0.25">
      <c r="B968" s="41"/>
      <c r="C968" s="42"/>
      <c r="D968" s="43" t="str">
        <f t="shared" si="42"/>
        <v/>
      </c>
      <c r="E968" s="44" t="str">
        <f>IF($C968="","",INDEX(Summary!$J$3:$J$7,MATCH($C968,TaskListLeads,FALSE),1))</f>
        <v/>
      </c>
      <c r="F968" s="50"/>
      <c r="G968" s="45" t="str">
        <f t="shared" si="43"/>
        <v/>
      </c>
      <c r="H968" s="50"/>
      <c r="I968" s="45" t="str">
        <f t="shared" si="44"/>
        <v/>
      </c>
      <c r="J968" s="41"/>
    </row>
    <row r="969" spans="2:10" ht="39.950000000000003" customHeight="1" x14ac:dyDescent="0.25">
      <c r="B969" s="41"/>
      <c r="C969" s="42"/>
      <c r="D969" s="43" t="str">
        <f t="shared" si="42"/>
        <v/>
      </c>
      <c r="E969" s="44" t="str">
        <f>IF($C969="","",INDEX(Summary!$J$3:$J$7,MATCH($C969,TaskListLeads,FALSE),1))</f>
        <v/>
      </c>
      <c r="F969" s="50"/>
      <c r="G969" s="45" t="str">
        <f t="shared" si="43"/>
        <v/>
      </c>
      <c r="H969" s="50"/>
      <c r="I969" s="45" t="str">
        <f t="shared" si="44"/>
        <v/>
      </c>
      <c r="J969" s="41"/>
    </row>
    <row r="970" spans="2:10" ht="39.950000000000003" customHeight="1" x14ac:dyDescent="0.25">
      <c r="B970" s="41"/>
      <c r="C970" s="42"/>
      <c r="D970" s="43" t="str">
        <f t="shared" si="42"/>
        <v/>
      </c>
      <c r="E970" s="44" t="str">
        <f>IF($C970="","",INDEX(Summary!$J$3:$J$7,MATCH($C970,TaskListLeads,FALSE),1))</f>
        <v/>
      </c>
      <c r="F970" s="50"/>
      <c r="G970" s="45" t="str">
        <f t="shared" si="43"/>
        <v/>
      </c>
      <c r="H970" s="50"/>
      <c r="I970" s="45" t="str">
        <f t="shared" si="44"/>
        <v/>
      </c>
      <c r="J970" s="41"/>
    </row>
    <row r="971" spans="2:10" ht="39.950000000000003" customHeight="1" x14ac:dyDescent="0.25">
      <c r="B971" s="41"/>
      <c r="C971" s="42"/>
      <c r="D971" s="43" t="str">
        <f t="shared" ref="D971:D1007" si="45">IF($C971="","",INDEX(TaskListCostCentres,MATCH($C971,TaskListLeads,FALSE),1))</f>
        <v/>
      </c>
      <c r="E971" s="44" t="str">
        <f>IF($C971="","",INDEX(Summary!$J$3:$J$7,MATCH($C971,TaskListLeads,FALSE),1))</f>
        <v/>
      </c>
      <c r="F971" s="50"/>
      <c r="G971" s="45" t="str">
        <f t="shared" ref="G971:G1007" si="46">IF($F971="","",INDEX(ControlWeeksOf,MATCH($F971,ControlWeeksOf,TRUE),1))</f>
        <v/>
      </c>
      <c r="H971" s="50"/>
      <c r="I971" s="45" t="str">
        <f t="shared" ref="I971:I1007" si="47">IF($H971="","",INDEX(ControlWeeksOf,MATCH($H971,ControlWeeksOf,TRUE),1))</f>
        <v/>
      </c>
      <c r="J971" s="41"/>
    </row>
    <row r="972" spans="2:10" ht="39.950000000000003" customHeight="1" x14ac:dyDescent="0.25">
      <c r="B972" s="41"/>
      <c r="C972" s="42"/>
      <c r="D972" s="43" t="str">
        <f t="shared" si="45"/>
        <v/>
      </c>
      <c r="E972" s="44" t="str">
        <f>IF($C972="","",INDEX(Summary!$J$3:$J$7,MATCH($C972,TaskListLeads,FALSE),1))</f>
        <v/>
      </c>
      <c r="F972" s="50"/>
      <c r="G972" s="45" t="str">
        <f t="shared" si="46"/>
        <v/>
      </c>
      <c r="H972" s="50"/>
      <c r="I972" s="45" t="str">
        <f t="shared" si="47"/>
        <v/>
      </c>
      <c r="J972" s="41"/>
    </row>
    <row r="973" spans="2:10" ht="39.950000000000003" customHeight="1" x14ac:dyDescent="0.25">
      <c r="B973" s="41"/>
      <c r="C973" s="42"/>
      <c r="D973" s="43" t="str">
        <f t="shared" si="45"/>
        <v/>
      </c>
      <c r="E973" s="44" t="str">
        <f>IF($C973="","",INDEX(Summary!$J$3:$J$7,MATCH($C973,TaskListLeads,FALSE),1))</f>
        <v/>
      </c>
      <c r="F973" s="50"/>
      <c r="G973" s="45" t="str">
        <f t="shared" si="46"/>
        <v/>
      </c>
      <c r="H973" s="50"/>
      <c r="I973" s="45" t="str">
        <f t="shared" si="47"/>
        <v/>
      </c>
      <c r="J973" s="41"/>
    </row>
    <row r="974" spans="2:10" ht="39.950000000000003" customHeight="1" x14ac:dyDescent="0.25">
      <c r="B974" s="41"/>
      <c r="C974" s="42"/>
      <c r="D974" s="43" t="str">
        <f t="shared" si="45"/>
        <v/>
      </c>
      <c r="E974" s="44" t="str">
        <f>IF($C974="","",INDEX(Summary!$J$3:$J$7,MATCH($C974,TaskListLeads,FALSE),1))</f>
        <v/>
      </c>
      <c r="F974" s="50"/>
      <c r="G974" s="45" t="str">
        <f t="shared" si="46"/>
        <v/>
      </c>
      <c r="H974" s="50"/>
      <c r="I974" s="45" t="str">
        <f t="shared" si="47"/>
        <v/>
      </c>
      <c r="J974" s="41"/>
    </row>
    <row r="975" spans="2:10" ht="39.950000000000003" customHeight="1" x14ac:dyDescent="0.25">
      <c r="B975" s="41"/>
      <c r="C975" s="42"/>
      <c r="D975" s="43" t="str">
        <f t="shared" si="45"/>
        <v/>
      </c>
      <c r="E975" s="44" t="str">
        <f>IF($C975="","",INDEX(Summary!$J$3:$J$7,MATCH($C975,TaskListLeads,FALSE),1))</f>
        <v/>
      </c>
      <c r="F975" s="50"/>
      <c r="G975" s="45" t="str">
        <f t="shared" si="46"/>
        <v/>
      </c>
      <c r="H975" s="50"/>
      <c r="I975" s="45" t="str">
        <f t="shared" si="47"/>
        <v/>
      </c>
      <c r="J975" s="41"/>
    </row>
    <row r="976" spans="2:10" ht="39.950000000000003" customHeight="1" x14ac:dyDescent="0.25">
      <c r="B976" s="41"/>
      <c r="C976" s="42"/>
      <c r="D976" s="43" t="str">
        <f t="shared" si="45"/>
        <v/>
      </c>
      <c r="E976" s="44" t="str">
        <f>IF($C976="","",INDEX(Summary!$J$3:$J$7,MATCH($C976,TaskListLeads,FALSE),1))</f>
        <v/>
      </c>
      <c r="F976" s="50"/>
      <c r="G976" s="45" t="str">
        <f t="shared" si="46"/>
        <v/>
      </c>
      <c r="H976" s="50"/>
      <c r="I976" s="45" t="str">
        <f t="shared" si="47"/>
        <v/>
      </c>
      <c r="J976" s="41"/>
    </row>
    <row r="977" spans="2:10" ht="39.950000000000003" customHeight="1" x14ac:dyDescent="0.25">
      <c r="B977" s="41"/>
      <c r="C977" s="42"/>
      <c r="D977" s="43" t="str">
        <f t="shared" si="45"/>
        <v/>
      </c>
      <c r="E977" s="44" t="str">
        <f>IF($C977="","",INDEX(Summary!$J$3:$J$7,MATCH($C977,TaskListLeads,FALSE),1))</f>
        <v/>
      </c>
      <c r="F977" s="50"/>
      <c r="G977" s="45" t="str">
        <f t="shared" si="46"/>
        <v/>
      </c>
      <c r="H977" s="50"/>
      <c r="I977" s="45" t="str">
        <f t="shared" si="47"/>
        <v/>
      </c>
      <c r="J977" s="41"/>
    </row>
    <row r="978" spans="2:10" ht="39.950000000000003" customHeight="1" x14ac:dyDescent="0.25">
      <c r="B978" s="41"/>
      <c r="C978" s="42"/>
      <c r="D978" s="43" t="str">
        <f t="shared" si="45"/>
        <v/>
      </c>
      <c r="E978" s="44" t="str">
        <f>IF($C978="","",INDEX(Summary!$J$3:$J$7,MATCH($C978,TaskListLeads,FALSE),1))</f>
        <v/>
      </c>
      <c r="F978" s="50"/>
      <c r="G978" s="45" t="str">
        <f t="shared" si="46"/>
        <v/>
      </c>
      <c r="H978" s="50"/>
      <c r="I978" s="45" t="str">
        <f t="shared" si="47"/>
        <v/>
      </c>
      <c r="J978" s="41"/>
    </row>
    <row r="979" spans="2:10" ht="39.950000000000003" customHeight="1" x14ac:dyDescent="0.25">
      <c r="B979" s="41"/>
      <c r="C979" s="42"/>
      <c r="D979" s="43" t="str">
        <f t="shared" si="45"/>
        <v/>
      </c>
      <c r="E979" s="44" t="str">
        <f>IF($C979="","",INDEX(Summary!$J$3:$J$7,MATCH($C979,TaskListLeads,FALSE),1))</f>
        <v/>
      </c>
      <c r="F979" s="50"/>
      <c r="G979" s="45" t="str">
        <f t="shared" si="46"/>
        <v/>
      </c>
      <c r="H979" s="50"/>
      <c r="I979" s="45" t="str">
        <f t="shared" si="47"/>
        <v/>
      </c>
      <c r="J979" s="41"/>
    </row>
    <row r="980" spans="2:10" ht="39.950000000000003" customHeight="1" x14ac:dyDescent="0.25">
      <c r="B980" s="41"/>
      <c r="C980" s="42"/>
      <c r="D980" s="43" t="str">
        <f t="shared" si="45"/>
        <v/>
      </c>
      <c r="E980" s="44" t="str">
        <f>IF($C980="","",INDEX(Summary!$J$3:$J$7,MATCH($C980,TaskListLeads,FALSE),1))</f>
        <v/>
      </c>
      <c r="F980" s="50"/>
      <c r="G980" s="45" t="str">
        <f t="shared" si="46"/>
        <v/>
      </c>
      <c r="H980" s="50"/>
      <c r="I980" s="45" t="str">
        <f t="shared" si="47"/>
        <v/>
      </c>
      <c r="J980" s="41"/>
    </row>
    <row r="981" spans="2:10" ht="39.950000000000003" customHeight="1" x14ac:dyDescent="0.25">
      <c r="B981" s="41"/>
      <c r="C981" s="42"/>
      <c r="D981" s="43" t="str">
        <f t="shared" si="45"/>
        <v/>
      </c>
      <c r="E981" s="44" t="str">
        <f>IF($C981="","",INDEX(Summary!$J$3:$J$7,MATCH($C981,TaskListLeads,FALSE),1))</f>
        <v/>
      </c>
      <c r="F981" s="50"/>
      <c r="G981" s="45" t="str">
        <f t="shared" si="46"/>
        <v/>
      </c>
      <c r="H981" s="50"/>
      <c r="I981" s="45" t="str">
        <f t="shared" si="47"/>
        <v/>
      </c>
      <c r="J981" s="41"/>
    </row>
    <row r="982" spans="2:10" ht="39.950000000000003" customHeight="1" x14ac:dyDescent="0.25">
      <c r="B982" s="41"/>
      <c r="C982" s="42"/>
      <c r="D982" s="43" t="str">
        <f t="shared" si="45"/>
        <v/>
      </c>
      <c r="E982" s="44" t="str">
        <f>IF($C982="","",INDEX(Summary!$J$3:$J$7,MATCH($C982,TaskListLeads,FALSE),1))</f>
        <v/>
      </c>
      <c r="F982" s="50"/>
      <c r="G982" s="45" t="str">
        <f t="shared" si="46"/>
        <v/>
      </c>
      <c r="H982" s="50"/>
      <c r="I982" s="45" t="str">
        <f t="shared" si="47"/>
        <v/>
      </c>
      <c r="J982" s="41"/>
    </row>
    <row r="983" spans="2:10" ht="39.950000000000003" customHeight="1" x14ac:dyDescent="0.25">
      <c r="B983" s="41"/>
      <c r="C983" s="42"/>
      <c r="D983" s="43" t="str">
        <f t="shared" si="45"/>
        <v/>
      </c>
      <c r="E983" s="44" t="str">
        <f>IF($C983="","",INDEX(Summary!$J$3:$J$7,MATCH($C983,TaskListLeads,FALSE),1))</f>
        <v/>
      </c>
      <c r="F983" s="50"/>
      <c r="G983" s="45" t="str">
        <f t="shared" si="46"/>
        <v/>
      </c>
      <c r="H983" s="50"/>
      <c r="I983" s="45" t="str">
        <f t="shared" si="47"/>
        <v/>
      </c>
      <c r="J983" s="41"/>
    </row>
    <row r="984" spans="2:10" ht="39.950000000000003" customHeight="1" x14ac:dyDescent="0.25">
      <c r="B984" s="41"/>
      <c r="C984" s="42"/>
      <c r="D984" s="43" t="str">
        <f t="shared" si="45"/>
        <v/>
      </c>
      <c r="E984" s="44" t="str">
        <f>IF($C984="","",INDEX(Summary!$J$3:$J$7,MATCH($C984,TaskListLeads,FALSE),1))</f>
        <v/>
      </c>
      <c r="F984" s="50"/>
      <c r="G984" s="45" t="str">
        <f t="shared" si="46"/>
        <v/>
      </c>
      <c r="H984" s="50"/>
      <c r="I984" s="45" t="str">
        <f t="shared" si="47"/>
        <v/>
      </c>
      <c r="J984" s="41"/>
    </row>
    <row r="985" spans="2:10" ht="39.950000000000003" customHeight="1" x14ac:dyDescent="0.25">
      <c r="B985" s="41"/>
      <c r="C985" s="42"/>
      <c r="D985" s="43" t="str">
        <f t="shared" si="45"/>
        <v/>
      </c>
      <c r="E985" s="44" t="str">
        <f>IF($C985="","",INDEX(Summary!$J$3:$J$7,MATCH($C985,TaskListLeads,FALSE),1))</f>
        <v/>
      </c>
      <c r="F985" s="50"/>
      <c r="G985" s="45" t="str">
        <f t="shared" si="46"/>
        <v/>
      </c>
      <c r="H985" s="50"/>
      <c r="I985" s="45" t="str">
        <f t="shared" si="47"/>
        <v/>
      </c>
      <c r="J985" s="41"/>
    </row>
    <row r="986" spans="2:10" ht="39.950000000000003" customHeight="1" x14ac:dyDescent="0.25">
      <c r="B986" s="41"/>
      <c r="C986" s="42"/>
      <c r="D986" s="43" t="str">
        <f t="shared" si="45"/>
        <v/>
      </c>
      <c r="E986" s="44" t="str">
        <f>IF($C986="","",INDEX(Summary!$J$3:$J$7,MATCH($C986,TaskListLeads,FALSE),1))</f>
        <v/>
      </c>
      <c r="F986" s="50"/>
      <c r="G986" s="45" t="str">
        <f t="shared" si="46"/>
        <v/>
      </c>
      <c r="H986" s="50"/>
      <c r="I986" s="45" t="str">
        <f t="shared" si="47"/>
        <v/>
      </c>
      <c r="J986" s="41"/>
    </row>
    <row r="987" spans="2:10" ht="39.950000000000003" customHeight="1" x14ac:dyDescent="0.25">
      <c r="B987" s="41"/>
      <c r="C987" s="42"/>
      <c r="D987" s="43" t="str">
        <f t="shared" si="45"/>
        <v/>
      </c>
      <c r="E987" s="44" t="str">
        <f>IF($C987="","",INDEX(Summary!$J$3:$J$7,MATCH($C987,TaskListLeads,FALSE),1))</f>
        <v/>
      </c>
      <c r="F987" s="50"/>
      <c r="G987" s="45" t="str">
        <f t="shared" si="46"/>
        <v/>
      </c>
      <c r="H987" s="50"/>
      <c r="I987" s="45" t="str">
        <f t="shared" si="47"/>
        <v/>
      </c>
      <c r="J987" s="41"/>
    </row>
    <row r="988" spans="2:10" ht="39.950000000000003" customHeight="1" x14ac:dyDescent="0.25">
      <c r="B988" s="41"/>
      <c r="C988" s="42"/>
      <c r="D988" s="43" t="str">
        <f t="shared" si="45"/>
        <v/>
      </c>
      <c r="E988" s="44" t="str">
        <f>IF($C988="","",INDEX(Summary!$J$3:$J$7,MATCH($C988,TaskListLeads,FALSE),1))</f>
        <v/>
      </c>
      <c r="F988" s="50"/>
      <c r="G988" s="45" t="str">
        <f t="shared" si="46"/>
        <v/>
      </c>
      <c r="H988" s="50"/>
      <c r="I988" s="45" t="str">
        <f t="shared" si="47"/>
        <v/>
      </c>
      <c r="J988" s="41"/>
    </row>
    <row r="989" spans="2:10" ht="39.950000000000003" customHeight="1" x14ac:dyDescent="0.25">
      <c r="B989" s="41"/>
      <c r="C989" s="42"/>
      <c r="D989" s="43" t="str">
        <f t="shared" si="45"/>
        <v/>
      </c>
      <c r="E989" s="44" t="str">
        <f>IF($C989="","",INDEX(Summary!$J$3:$J$7,MATCH($C989,TaskListLeads,FALSE),1))</f>
        <v/>
      </c>
      <c r="F989" s="50"/>
      <c r="G989" s="45" t="str">
        <f t="shared" si="46"/>
        <v/>
      </c>
      <c r="H989" s="50"/>
      <c r="I989" s="45" t="str">
        <f t="shared" si="47"/>
        <v/>
      </c>
      <c r="J989" s="41"/>
    </row>
    <row r="990" spans="2:10" ht="39.950000000000003" customHeight="1" x14ac:dyDescent="0.25">
      <c r="B990" s="41"/>
      <c r="C990" s="42"/>
      <c r="D990" s="43" t="str">
        <f t="shared" si="45"/>
        <v/>
      </c>
      <c r="E990" s="44" t="str">
        <f>IF($C990="","",INDEX(Summary!$J$3:$J$7,MATCH($C990,TaskListLeads,FALSE),1))</f>
        <v/>
      </c>
      <c r="F990" s="50"/>
      <c r="G990" s="45" t="str">
        <f t="shared" si="46"/>
        <v/>
      </c>
      <c r="H990" s="50"/>
      <c r="I990" s="45" t="str">
        <f t="shared" si="47"/>
        <v/>
      </c>
      <c r="J990" s="41"/>
    </row>
    <row r="991" spans="2:10" ht="39.950000000000003" customHeight="1" x14ac:dyDescent="0.25">
      <c r="B991" s="41"/>
      <c r="C991" s="42"/>
      <c r="D991" s="43" t="str">
        <f t="shared" si="45"/>
        <v/>
      </c>
      <c r="E991" s="44" t="str">
        <f>IF($C991="","",INDEX(Summary!$J$3:$J$7,MATCH($C991,TaskListLeads,FALSE),1))</f>
        <v/>
      </c>
      <c r="F991" s="50"/>
      <c r="G991" s="45" t="str">
        <f t="shared" si="46"/>
        <v/>
      </c>
      <c r="H991" s="50"/>
      <c r="I991" s="45" t="str">
        <f t="shared" si="47"/>
        <v/>
      </c>
      <c r="J991" s="41"/>
    </row>
    <row r="992" spans="2:10" ht="39.950000000000003" customHeight="1" x14ac:dyDescent="0.25">
      <c r="B992" s="41"/>
      <c r="C992" s="42"/>
      <c r="D992" s="43" t="str">
        <f t="shared" si="45"/>
        <v/>
      </c>
      <c r="E992" s="44" t="str">
        <f>IF($C992="","",INDEX(Summary!$J$3:$J$7,MATCH($C992,TaskListLeads,FALSE),1))</f>
        <v/>
      </c>
      <c r="F992" s="50"/>
      <c r="G992" s="45" t="str">
        <f t="shared" si="46"/>
        <v/>
      </c>
      <c r="H992" s="50"/>
      <c r="I992" s="45" t="str">
        <f t="shared" si="47"/>
        <v/>
      </c>
      <c r="J992" s="41"/>
    </row>
    <row r="993" spans="2:10" ht="39.950000000000003" customHeight="1" x14ac:dyDescent="0.25">
      <c r="B993" s="41"/>
      <c r="C993" s="42"/>
      <c r="D993" s="43" t="str">
        <f t="shared" si="45"/>
        <v/>
      </c>
      <c r="E993" s="44" t="str">
        <f>IF($C993="","",INDEX(Summary!$J$3:$J$7,MATCH($C993,TaskListLeads,FALSE),1))</f>
        <v/>
      </c>
      <c r="F993" s="50"/>
      <c r="G993" s="45" t="str">
        <f t="shared" si="46"/>
        <v/>
      </c>
      <c r="H993" s="50"/>
      <c r="I993" s="45" t="str">
        <f t="shared" si="47"/>
        <v/>
      </c>
      <c r="J993" s="41"/>
    </row>
    <row r="994" spans="2:10" ht="39.950000000000003" customHeight="1" x14ac:dyDescent="0.25">
      <c r="B994" s="41"/>
      <c r="C994" s="42"/>
      <c r="D994" s="43" t="str">
        <f t="shared" si="45"/>
        <v/>
      </c>
      <c r="E994" s="44" t="str">
        <f>IF($C994="","",INDEX(Summary!$J$3:$J$7,MATCH($C994,TaskListLeads,FALSE),1))</f>
        <v/>
      </c>
      <c r="F994" s="50"/>
      <c r="G994" s="45" t="str">
        <f t="shared" si="46"/>
        <v/>
      </c>
      <c r="H994" s="50"/>
      <c r="I994" s="45" t="str">
        <f t="shared" si="47"/>
        <v/>
      </c>
      <c r="J994" s="41"/>
    </row>
    <row r="995" spans="2:10" ht="39.950000000000003" customHeight="1" x14ac:dyDescent="0.25">
      <c r="B995" s="41"/>
      <c r="C995" s="42"/>
      <c r="D995" s="43" t="str">
        <f t="shared" si="45"/>
        <v/>
      </c>
      <c r="E995" s="44" t="str">
        <f>IF($C995="","",INDEX(Summary!$J$3:$J$7,MATCH($C995,TaskListLeads,FALSE),1))</f>
        <v/>
      </c>
      <c r="F995" s="50"/>
      <c r="G995" s="45" t="str">
        <f t="shared" si="46"/>
        <v/>
      </c>
      <c r="H995" s="50"/>
      <c r="I995" s="45" t="str">
        <f t="shared" si="47"/>
        <v/>
      </c>
      <c r="J995" s="41"/>
    </row>
    <row r="996" spans="2:10" ht="39.950000000000003" customHeight="1" x14ac:dyDescent="0.25">
      <c r="B996" s="41"/>
      <c r="C996" s="42"/>
      <c r="D996" s="43" t="str">
        <f t="shared" si="45"/>
        <v/>
      </c>
      <c r="E996" s="44" t="str">
        <f>IF($C996="","",INDEX(Summary!$J$3:$J$7,MATCH($C996,TaskListLeads,FALSE),1))</f>
        <v/>
      </c>
      <c r="F996" s="50"/>
      <c r="G996" s="45" t="str">
        <f t="shared" si="46"/>
        <v/>
      </c>
      <c r="H996" s="50"/>
      <c r="I996" s="45" t="str">
        <f t="shared" si="47"/>
        <v/>
      </c>
      <c r="J996" s="41"/>
    </row>
    <row r="997" spans="2:10" ht="39.950000000000003" customHeight="1" x14ac:dyDescent="0.25">
      <c r="B997" s="41"/>
      <c r="C997" s="42"/>
      <c r="D997" s="43" t="str">
        <f t="shared" si="45"/>
        <v/>
      </c>
      <c r="E997" s="44" t="str">
        <f>IF($C997="","",INDEX(Summary!$J$3:$J$7,MATCH($C997,TaskListLeads,FALSE),1))</f>
        <v/>
      </c>
      <c r="F997" s="50"/>
      <c r="G997" s="45" t="str">
        <f t="shared" si="46"/>
        <v/>
      </c>
      <c r="H997" s="50"/>
      <c r="I997" s="45" t="str">
        <f t="shared" si="47"/>
        <v/>
      </c>
      <c r="J997" s="41"/>
    </row>
    <row r="998" spans="2:10" ht="39.950000000000003" customHeight="1" x14ac:dyDescent="0.25">
      <c r="B998" s="41"/>
      <c r="C998" s="42"/>
      <c r="D998" s="43" t="str">
        <f t="shared" si="45"/>
        <v/>
      </c>
      <c r="E998" s="44" t="str">
        <f>IF($C998="","",INDEX(Summary!$J$3:$J$7,MATCH($C998,TaskListLeads,FALSE),1))</f>
        <v/>
      </c>
      <c r="F998" s="50"/>
      <c r="G998" s="45" t="str">
        <f t="shared" si="46"/>
        <v/>
      </c>
      <c r="H998" s="50"/>
      <c r="I998" s="45" t="str">
        <f t="shared" si="47"/>
        <v/>
      </c>
      <c r="J998" s="41"/>
    </row>
    <row r="999" spans="2:10" ht="39.950000000000003" customHeight="1" x14ac:dyDescent="0.25">
      <c r="B999" s="41"/>
      <c r="C999" s="42"/>
      <c r="D999" s="43" t="str">
        <f t="shared" si="45"/>
        <v/>
      </c>
      <c r="E999" s="44" t="str">
        <f>IF($C999="","",INDEX(Summary!$J$3:$J$7,MATCH($C999,TaskListLeads,FALSE),1))</f>
        <v/>
      </c>
      <c r="F999" s="50"/>
      <c r="G999" s="45" t="str">
        <f t="shared" si="46"/>
        <v/>
      </c>
      <c r="H999" s="50"/>
      <c r="I999" s="45" t="str">
        <f t="shared" si="47"/>
        <v/>
      </c>
      <c r="J999" s="41"/>
    </row>
    <row r="1000" spans="2:10" ht="39.950000000000003" customHeight="1" x14ac:dyDescent="0.25">
      <c r="B1000" s="41"/>
      <c r="C1000" s="42"/>
      <c r="D1000" s="43" t="str">
        <f t="shared" si="45"/>
        <v/>
      </c>
      <c r="E1000" s="44" t="str">
        <f>IF($C1000="","",INDEX(Summary!$J$3:$J$7,MATCH($C1000,TaskListLeads,FALSE),1))</f>
        <v/>
      </c>
      <c r="F1000" s="50"/>
      <c r="G1000" s="45" t="str">
        <f t="shared" si="46"/>
        <v/>
      </c>
      <c r="H1000" s="50"/>
      <c r="I1000" s="45" t="str">
        <f t="shared" si="47"/>
        <v/>
      </c>
      <c r="J1000" s="41"/>
    </row>
    <row r="1001" spans="2:10" ht="39.950000000000003" customHeight="1" x14ac:dyDescent="0.25">
      <c r="B1001" s="41"/>
      <c r="C1001" s="42"/>
      <c r="D1001" s="43" t="str">
        <f t="shared" si="45"/>
        <v/>
      </c>
      <c r="E1001" s="44" t="str">
        <f>IF($C1001="","",INDEX(Summary!$J$3:$J$7,MATCH($C1001,TaskListLeads,FALSE),1))</f>
        <v/>
      </c>
      <c r="F1001" s="50"/>
      <c r="G1001" s="45" t="str">
        <f t="shared" si="46"/>
        <v/>
      </c>
      <c r="H1001" s="50"/>
      <c r="I1001" s="45" t="str">
        <f t="shared" si="47"/>
        <v/>
      </c>
      <c r="J1001" s="41"/>
    </row>
    <row r="1002" spans="2:10" ht="39.950000000000003" customHeight="1" x14ac:dyDescent="0.25">
      <c r="B1002" s="41"/>
      <c r="C1002" s="42"/>
      <c r="D1002" s="43" t="str">
        <f t="shared" si="45"/>
        <v/>
      </c>
      <c r="E1002" s="44" t="str">
        <f>IF($C1002="","",INDEX(Summary!$J$3:$J$7,MATCH($C1002,TaskListLeads,FALSE),1))</f>
        <v/>
      </c>
      <c r="F1002" s="50"/>
      <c r="G1002" s="45" t="str">
        <f t="shared" si="46"/>
        <v/>
      </c>
      <c r="H1002" s="50"/>
      <c r="I1002" s="45" t="str">
        <f t="shared" si="47"/>
        <v/>
      </c>
      <c r="J1002" s="41"/>
    </row>
    <row r="1003" spans="2:10" ht="39.950000000000003" customHeight="1" x14ac:dyDescent="0.25">
      <c r="B1003" s="41"/>
      <c r="C1003" s="42"/>
      <c r="D1003" s="43" t="str">
        <f t="shared" si="45"/>
        <v/>
      </c>
      <c r="E1003" s="44" t="str">
        <f>IF($C1003="","",INDEX(Summary!$J$3:$J$7,MATCH($C1003,TaskListLeads,FALSE),1))</f>
        <v/>
      </c>
      <c r="F1003" s="50"/>
      <c r="G1003" s="45" t="str">
        <f t="shared" si="46"/>
        <v/>
      </c>
      <c r="H1003" s="50"/>
      <c r="I1003" s="45" t="str">
        <f t="shared" si="47"/>
        <v/>
      </c>
      <c r="J1003" s="41"/>
    </row>
    <row r="1004" spans="2:10" ht="39.950000000000003" customHeight="1" x14ac:dyDescent="0.25">
      <c r="B1004" s="41"/>
      <c r="C1004" s="42"/>
      <c r="D1004" s="43" t="str">
        <f t="shared" si="45"/>
        <v/>
      </c>
      <c r="E1004" s="44" t="str">
        <f>IF($C1004="","",INDEX(Summary!$J$3:$J$7,MATCH($C1004,TaskListLeads,FALSE),1))</f>
        <v/>
      </c>
      <c r="F1004" s="50"/>
      <c r="G1004" s="45" t="str">
        <f t="shared" si="46"/>
        <v/>
      </c>
      <c r="H1004" s="50"/>
      <c r="I1004" s="45" t="str">
        <f t="shared" si="47"/>
        <v/>
      </c>
      <c r="J1004" s="41"/>
    </row>
    <row r="1005" spans="2:10" ht="39.950000000000003" customHeight="1" x14ac:dyDescent="0.25">
      <c r="B1005" s="41"/>
      <c r="C1005" s="42"/>
      <c r="D1005" s="43" t="str">
        <f t="shared" si="45"/>
        <v/>
      </c>
      <c r="E1005" s="44" t="str">
        <f>IF($C1005="","",INDEX(Summary!$J$3:$J$7,MATCH($C1005,TaskListLeads,FALSE),1))</f>
        <v/>
      </c>
      <c r="F1005" s="50"/>
      <c r="G1005" s="45" t="str">
        <f t="shared" si="46"/>
        <v/>
      </c>
      <c r="H1005" s="50"/>
      <c r="I1005" s="45" t="str">
        <f t="shared" si="47"/>
        <v/>
      </c>
      <c r="J1005" s="41"/>
    </row>
    <row r="1006" spans="2:10" ht="39.950000000000003" customHeight="1" x14ac:dyDescent="0.25">
      <c r="B1006" s="41"/>
      <c r="C1006" s="42"/>
      <c r="D1006" s="43" t="str">
        <f t="shared" si="45"/>
        <v/>
      </c>
      <c r="E1006" s="44" t="str">
        <f>IF($C1006="","",INDEX(Summary!$J$3:$J$7,MATCH($C1006,TaskListLeads,FALSE),1))</f>
        <v/>
      </c>
      <c r="F1006" s="50"/>
      <c r="G1006" s="45" t="str">
        <f t="shared" si="46"/>
        <v/>
      </c>
      <c r="H1006" s="50"/>
      <c r="I1006" s="45" t="str">
        <f t="shared" si="47"/>
        <v/>
      </c>
      <c r="J1006" s="41"/>
    </row>
    <row r="1007" spans="2:10" ht="39.950000000000003" customHeight="1" x14ac:dyDescent="0.25">
      <c r="B1007" s="41"/>
      <c r="C1007" s="42"/>
      <c r="D1007" s="43" t="str">
        <f t="shared" si="45"/>
        <v/>
      </c>
      <c r="E1007" s="44" t="str">
        <f>IF($C1007="","",INDEX(Summary!$J$3:$J$7,MATCH($C1007,TaskListLeads,FALSE),1))</f>
        <v/>
      </c>
      <c r="F1007" s="50"/>
      <c r="G1007" s="45" t="str">
        <f t="shared" si="46"/>
        <v/>
      </c>
      <c r="H1007" s="50"/>
      <c r="I1007" s="45" t="str">
        <f t="shared" si="47"/>
        <v/>
      </c>
      <c r="J1007" s="41"/>
    </row>
  </sheetData>
  <autoFilter ref="B10:I1007"/>
  <sortState ref="B11:J1007">
    <sortCondition ref="F121"/>
  </sortState>
  <conditionalFormatting sqref="J11:J1007 A11:G1007 H95:H1007 H11:H93">
    <cfRule type="expression" dxfId="29" priority="25">
      <formula>INDEX($H$11:$H$997,ROW()-10,1)&lt;&gt;""</formula>
    </cfRule>
  </conditionalFormatting>
  <conditionalFormatting sqref="H94">
    <cfRule type="expression" dxfId="28" priority="22">
      <formula>INDEX($H$11:$H$997,ROW()-10,1)&lt;&gt;""</formula>
    </cfRule>
  </conditionalFormatting>
  <conditionalFormatting sqref="H94">
    <cfRule type="expression" dxfId="27" priority="21">
      <formula>AND(INDEX($F$11:$F$997,ROW()-10,1)=TODAY(),INDEX($H$11:$H$997,ROW()-10,1)="")</formula>
    </cfRule>
  </conditionalFormatting>
  <conditionalFormatting sqref="H103 F11:F1007 H44">
    <cfRule type="expression" dxfId="26" priority="15">
      <formula>AND(TODAY()&gt;INDEX($F$11:$F$1007,ROW()-10,1),INDEX($H$11:$H$1007,ROW()-10,1)="",INDEX($F$11:$F$1007,ROW()-10,1)&lt;&gt;"")</formula>
    </cfRule>
    <cfRule type="expression" dxfId="25" priority="16">
      <formula>AND(INDEX($F$11:$F$997,ROW()-10,1)=TODAY(),INDEX($H$11:$H$997,ROW()-10,1)="")</formula>
    </cfRule>
    <cfRule type="expression" dxfId="24" priority="17">
      <formula>AND(INDEX($F$11:$F$997,ROW()-10,1)=TODAY(),INDEX($H$11:$H$997,ROW()-10,1)="")</formula>
    </cfRule>
  </conditionalFormatting>
  <conditionalFormatting sqref="H113">
    <cfRule type="expression" dxfId="23" priority="5">
      <formula>AND(TODAY()&gt;INDEX($F$11:$F$1007,ROW()-10,1),INDEX($H$11:$H$1007,ROW()-10,1)="",INDEX($F$11:$F$1007,ROW()-10,1)&lt;&gt;"")</formula>
    </cfRule>
    <cfRule type="expression" dxfId="22" priority="6">
      <formula>AND(INDEX($F$11:$F$997,ROW()-10,1)=TODAY(),INDEX($H$11:$H$997,ROW()-10,1)="")</formula>
    </cfRule>
    <cfRule type="expression" dxfId="21" priority="7">
      <formula>AND(INDEX($F$11:$F$997,ROW()-10,1)=TODAY(),INDEX($H$11:$H$997,ROW()-10,1)="")</formula>
    </cfRule>
  </conditionalFormatting>
  <conditionalFormatting sqref="H45">
    <cfRule type="expression" dxfId="20" priority="1">
      <formula>AND(TODAY()&gt;INDEX($F$11:$F$1007,ROW()-10,1),INDEX($H$11:$H$1007,ROW()-10,1)="",INDEX($F$11:$F$1007,ROW()-10,1)&lt;&gt;"")</formula>
    </cfRule>
    <cfRule type="expression" dxfId="19" priority="2">
      <formula>AND(INDEX($F$11:$F$997,ROW()-10,1)=TODAY(),INDEX($H$11:$H$997,ROW()-10,1)="")</formula>
    </cfRule>
    <cfRule type="expression" dxfId="18" priority="3">
      <formula>AND(INDEX($F$11:$F$997,ROW()-10,1)=TODAY(),INDEX($H$11:$H$997,ROW()-10,1)="")</formula>
    </cfRule>
  </conditionalFormatting>
  <dataValidations count="1">
    <dataValidation type="list" allowBlank="1" showInputMessage="1" showErrorMessage="1" sqref="C11:C1007">
      <formula1>TaskListLeads</formula1>
    </dataValidation>
  </dataValidations>
  <pageMargins left="0.7" right="0.7" top="0.75" bottom="0.75" header="0.3" footer="0.3"/>
  <pageSetup scale="60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8" operator="equal" id="{F2EE0536-EA62-4AA3-8616-C75311DEBC8E}">
            <xm:f>Summary!$C$4</xm:f>
            <x14:dxf>
              <font>
                <b val="0"/>
                <i val="0"/>
                <color auto="1"/>
              </font>
              <fill>
                <patternFill>
                  <bgColor rgb="FF99FFCC"/>
                </patternFill>
              </fill>
            </x14:dxf>
          </x14:cfRule>
          <xm:sqref>F11:F1007</xm:sqref>
        </x14:conditionalFormatting>
        <x14:conditionalFormatting xmlns:xm="http://schemas.microsoft.com/office/excel/2006/main">
          <x14:cfRule type="cellIs" priority="23" operator="equal" id="{4B450C28-45B7-4DAC-B667-432F655510A2}">
            <xm:f>Summary!$C$5</xm:f>
            <x14:dxf>
              <fill>
                <patternFill>
                  <bgColor theme="9" tint="0.79998168889431442"/>
                </patternFill>
              </fill>
            </x14:dxf>
          </x14:cfRule>
          <xm:sqref>G11:G1007</xm:sqref>
        </x14:conditionalFormatting>
        <x14:conditionalFormatting xmlns:xm="http://schemas.microsoft.com/office/excel/2006/main">
          <x14:cfRule type="cellIs" priority="19" operator="equal" id="{5AC763E8-AA1C-43B8-B2F4-4475CABF8DE7}">
            <xm:f>Summary!$C$3</xm:f>
            <x14:dxf>
              <fill>
                <patternFill>
                  <bgColor theme="5" tint="0.79998168889431442"/>
                </patternFill>
              </fill>
            </x14:dxf>
          </x14:cfRule>
          <xm:sqref>I11:I1007</xm:sqref>
        </x14:conditionalFormatting>
        <x14:conditionalFormatting xmlns:xm="http://schemas.microsoft.com/office/excel/2006/main">
          <x14:cfRule type="cellIs" priority="14" operator="equal" id="{D545BBD1-A5E4-4984-BF5C-D84798556457}">
            <xm:f>Summary!$C$4</xm:f>
            <x14:dxf>
              <font>
                <b val="0"/>
                <i val="0"/>
                <color auto="1"/>
              </font>
              <fill>
                <patternFill>
                  <bgColor rgb="FF99FFCC"/>
                </patternFill>
              </fill>
            </x14:dxf>
          </x14:cfRule>
          <xm:sqref>H103</xm:sqref>
        </x14:conditionalFormatting>
        <x14:conditionalFormatting xmlns:xm="http://schemas.microsoft.com/office/excel/2006/main">
          <x14:cfRule type="cellIs" priority="12" operator="equal" id="{BE1BC78E-97E2-46C2-986A-FD1C4F81C258}">
            <xm:f>Summary!$C$4</xm:f>
            <x14:dxf>
              <font>
                <b val="0"/>
                <i val="0"/>
                <color auto="1"/>
              </font>
              <fill>
                <patternFill>
                  <bgColor rgb="FF99FFCC"/>
                </patternFill>
              </fill>
            </x14:dxf>
          </x14:cfRule>
          <xm:sqref>H44</xm:sqref>
        </x14:conditionalFormatting>
        <x14:conditionalFormatting xmlns:xm="http://schemas.microsoft.com/office/excel/2006/main">
          <x14:cfRule type="cellIs" priority="8" operator="equal" id="{731ECF1F-A84D-4665-AF44-E400C14DB1A2}">
            <xm:f>Summary!$C$4</xm:f>
            <x14:dxf>
              <font>
                <b val="0"/>
                <i val="0"/>
                <color auto="1"/>
              </font>
              <fill>
                <patternFill>
                  <bgColor rgb="FF99FFCC"/>
                </patternFill>
              </fill>
            </x14:dxf>
          </x14:cfRule>
          <xm:sqref>H113</xm:sqref>
        </x14:conditionalFormatting>
        <x14:conditionalFormatting xmlns:xm="http://schemas.microsoft.com/office/excel/2006/main">
          <x14:cfRule type="cellIs" priority="4" operator="equal" id="{4A4B12B6-1807-4C02-9598-4F74DEF802FD}">
            <xm:f>Summary!$C$4</xm:f>
            <x14:dxf>
              <font>
                <b val="0"/>
                <i val="0"/>
                <color auto="1"/>
              </font>
              <fill>
                <patternFill>
                  <bgColor rgb="FF99FFCC"/>
                </patternFill>
              </fill>
            </x14:dxf>
          </x14:cfRule>
          <xm:sqref>H45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T15"/>
  <sheetViews>
    <sheetView showGridLines="0" zoomScale="130" zoomScaleNormal="130" workbookViewId="0">
      <selection activeCell="E8" sqref="E8"/>
    </sheetView>
  </sheetViews>
  <sheetFormatPr defaultRowHeight="15" x14ac:dyDescent="0.25"/>
  <cols>
    <col min="1" max="1" width="3" customWidth="1"/>
    <col min="2" max="2" width="18" customWidth="1"/>
    <col min="3" max="3" width="20.125" customWidth="1"/>
    <col min="8" max="8" width="10.875" customWidth="1"/>
    <col min="9" max="9" width="28.5" customWidth="1"/>
    <col min="10" max="10" width="16.875" customWidth="1"/>
    <col min="11" max="11" width="6.625" customWidth="1"/>
    <col min="15" max="15" width="17" customWidth="1"/>
  </cols>
  <sheetData>
    <row r="1" spans="2:20" ht="15.75" thickBot="1" x14ac:dyDescent="0.3"/>
    <row r="2" spans="2:20" ht="45.75" thickTop="1" x14ac:dyDescent="0.25">
      <c r="B2" s="54" t="s">
        <v>0</v>
      </c>
      <c r="C2" s="55"/>
      <c r="D2" s="56" t="s">
        <v>1</v>
      </c>
      <c r="E2" s="57" t="s">
        <v>2</v>
      </c>
      <c r="F2" s="8" t="s">
        <v>3</v>
      </c>
      <c r="G2" s="9"/>
      <c r="H2" s="10" t="s">
        <v>4</v>
      </c>
      <c r="I2" s="11" t="s">
        <v>5</v>
      </c>
      <c r="J2" s="11" t="s">
        <v>6</v>
      </c>
      <c r="K2" s="12" t="s">
        <v>7</v>
      </c>
      <c r="L2" s="13" t="s">
        <v>8</v>
      </c>
      <c r="M2" s="13" t="s">
        <v>9</v>
      </c>
      <c r="P2" s="78" t="s">
        <v>9</v>
      </c>
    </row>
    <row r="3" spans="2:20" ht="27.75" customHeight="1" x14ac:dyDescent="0.25">
      <c r="B3" s="17" t="s">
        <v>42</v>
      </c>
      <c r="C3" s="64">
        <f ca="1">C5-7</f>
        <v>42547</v>
      </c>
      <c r="D3" s="2">
        <f ca="1">COUNTIF('Work List'!G$11:G$1007,$C3)</f>
        <v>1</v>
      </c>
      <c r="E3" s="3">
        <f ca="1">COUNTIF('Work List'!I$11:I$1007,$C3)</f>
        <v>0</v>
      </c>
      <c r="F3" s="59">
        <f ca="1">SUMPRODUCT(('Work List'!$F$11:$F$1007&lt;&gt;"")*('Work List'!G$11:G$1007&lt;C3)*('Work List'!$H$11:$H$1007=""))</f>
        <v>37</v>
      </c>
      <c r="G3" s="9"/>
      <c r="H3" s="67">
        <v>100196</v>
      </c>
      <c r="I3" s="19" t="s">
        <v>11</v>
      </c>
      <c r="J3" s="19" t="s">
        <v>12</v>
      </c>
      <c r="K3" s="73">
        <f>COUNTIF('Work List'!$D$11:$D$1007,H3)</f>
        <v>25</v>
      </c>
      <c r="L3" s="20">
        <f>K3/$K$8</f>
        <v>0.22321428571428573</v>
      </c>
      <c r="M3" s="20">
        <f>SUM(K3:K4)/K8</f>
        <v>0.25</v>
      </c>
      <c r="O3" s="19" t="s">
        <v>12</v>
      </c>
      <c r="P3" s="77">
        <f>M3</f>
        <v>0.25</v>
      </c>
    </row>
    <row r="4" spans="2:20" ht="30" customHeight="1" x14ac:dyDescent="0.25">
      <c r="B4" s="17" t="s">
        <v>10</v>
      </c>
      <c r="C4" s="66">
        <f ca="1">TODAY()</f>
        <v>42555</v>
      </c>
      <c r="D4" s="25">
        <f ca="1">COUNTIF('Work List'!F$11:F$1007,$C4)</f>
        <v>1</v>
      </c>
      <c r="E4" s="58">
        <f ca="1">COUNTIF('Work List'!H$11:H$1007,$C4)</f>
        <v>0</v>
      </c>
      <c r="F4" s="58">
        <f ca="1">SUMPRODUCT(('Work List'!$F$11:$F$1007&lt;&gt;"")*('Work List'!$F$11:$F$1007&lt;C4)*('Work List'!$H$11:$H$1007=""))</f>
        <v>38</v>
      </c>
      <c r="G4" s="3"/>
      <c r="H4" s="72">
        <v>100633</v>
      </c>
      <c r="I4" s="68" t="s">
        <v>14</v>
      </c>
      <c r="J4" s="22" t="s">
        <v>12</v>
      </c>
      <c r="K4" s="74">
        <f>COUNTIF('Work List'!$D$11:$D$1007,H4)</f>
        <v>3</v>
      </c>
      <c r="L4" s="23">
        <f>K4/$K$8</f>
        <v>2.6785714285714284E-2</v>
      </c>
      <c r="M4" s="23"/>
      <c r="O4" s="28" t="s">
        <v>17</v>
      </c>
      <c r="P4" s="77">
        <f>M5</f>
        <v>0.75</v>
      </c>
    </row>
    <row r="5" spans="2:20" ht="30" customHeight="1" x14ac:dyDescent="0.25">
      <c r="B5" s="17" t="s">
        <v>13</v>
      </c>
      <c r="C5" s="65">
        <f ca="1">INDEX(ControlWeeksOf,MATCH($C$4,ControlWeeksOf,TRUE),1)</f>
        <v>42554</v>
      </c>
      <c r="D5" s="60">
        <f ca="1">COUNTIF('Work List'!G$11:G$1007,$C5)</f>
        <v>3</v>
      </c>
      <c r="E5" s="61">
        <f ca="1">COUNTIF('Work List'!I$11:I$1007,$C5)</f>
        <v>0</v>
      </c>
      <c r="F5" s="61">
        <f ca="1">SUMPRODUCT(('Work List'!$F$11:$F$1007&lt;&gt;"")*('Work List'!G$11:G$1007&lt;C5)*('Work List'!$H$11:$H$1007=""))</f>
        <v>38</v>
      </c>
      <c r="G5" s="3"/>
      <c r="H5" s="67">
        <v>100520</v>
      </c>
      <c r="I5" s="19" t="s">
        <v>16</v>
      </c>
      <c r="J5" s="19" t="s">
        <v>17</v>
      </c>
      <c r="K5" s="75">
        <f>COUNTIF('Work List'!$D$11:$D$1007,H5)</f>
        <v>3</v>
      </c>
      <c r="L5" s="20">
        <f>K5/$K$8</f>
        <v>2.6785714285714284E-2</v>
      </c>
      <c r="M5" s="20">
        <f>SUM(K5:K7)/K8</f>
        <v>0.75</v>
      </c>
    </row>
    <row r="6" spans="2:20" ht="30" customHeight="1" x14ac:dyDescent="0.25">
      <c r="B6" s="24" t="s">
        <v>15</v>
      </c>
      <c r="C6" s="18">
        <f ca="1">INDEX(ControlWeeksOf,1+MATCH($C$4,ControlWeeksOf,TRUE),1)</f>
        <v>42561</v>
      </c>
      <c r="D6" s="21">
        <f ca="1">COUNTIF('Work List'!G$11:G$1007,$C6)</f>
        <v>1</v>
      </c>
      <c r="E6" s="21">
        <f ca="1">SUMPRODUCT(('Work List'!G11:G1007=C6)*('Work List'!H11:H1007&lt;&gt;""))</f>
        <v>0</v>
      </c>
      <c r="F6" s="25"/>
      <c r="G6" s="2"/>
      <c r="H6" s="70">
        <v>100876</v>
      </c>
      <c r="I6" s="69" t="s">
        <v>70</v>
      </c>
      <c r="J6" s="28" t="s">
        <v>17</v>
      </c>
      <c r="K6" s="76">
        <f>COUNTIF('Work List'!$D$11:$D$1007,H6)</f>
        <v>80</v>
      </c>
      <c r="L6" s="20">
        <f>K6/$K$8</f>
        <v>0.7142857142857143</v>
      </c>
      <c r="M6" s="6"/>
    </row>
    <row r="7" spans="2:20" ht="30" customHeight="1" x14ac:dyDescent="0.25">
      <c r="B7" s="26" t="s">
        <v>18</v>
      </c>
      <c r="C7" s="27"/>
      <c r="D7" s="62" t="s">
        <v>19</v>
      </c>
      <c r="E7" s="63" t="s">
        <v>2</v>
      </c>
      <c r="F7" s="4"/>
      <c r="G7" s="4"/>
      <c r="H7" s="71">
        <v>100272</v>
      </c>
      <c r="I7" s="68" t="s">
        <v>20</v>
      </c>
      <c r="J7" s="22" t="s">
        <v>17</v>
      </c>
      <c r="K7" s="74">
        <f>COUNTIF('Work List'!$D$11:$D$1007,H7)</f>
        <v>1</v>
      </c>
      <c r="L7" s="23">
        <f>K7/$K$8</f>
        <v>8.9285714285714281E-3</v>
      </c>
      <c r="M7" s="34"/>
    </row>
    <row r="8" spans="2:20" ht="30" customHeight="1" x14ac:dyDescent="0.25">
      <c r="B8" s="29"/>
      <c r="C8" s="30"/>
      <c r="D8" s="31">
        <f>SUMPRODUCT(('Work List'!B11:B1007&lt;&gt;"")*('Work List'!F11:F1007="")*('Work List'!H11:H1007=""))</f>
        <v>7</v>
      </c>
      <c r="E8" s="32">
        <f>SUMPRODUCT(('Work List'!B11:B1007&lt;&gt;"")*('Work List'!F11:F1007="")*('Work List'!H11:H1007&lt;&gt;""))</f>
        <v>1</v>
      </c>
      <c r="F8" s="33"/>
      <c r="G8" s="4"/>
      <c r="H8" s="7"/>
      <c r="I8" s="6"/>
      <c r="J8" s="6"/>
      <c r="K8" s="35">
        <f>SUM(K3:K7)</f>
        <v>112</v>
      </c>
      <c r="L8" s="6"/>
      <c r="M8" s="5"/>
    </row>
    <row r="9" spans="2:20" x14ac:dyDescent="0.25">
      <c r="B9" s="17"/>
      <c r="C9" s="6"/>
      <c r="D9" s="15"/>
      <c r="E9" s="16"/>
      <c r="F9" s="4"/>
      <c r="G9" s="4"/>
    </row>
    <row r="10" spans="2:20" x14ac:dyDescent="0.25">
      <c r="O10" t="s">
        <v>5</v>
      </c>
      <c r="P10" t="s">
        <v>65</v>
      </c>
    </row>
    <row r="11" spans="2:20" x14ac:dyDescent="0.25">
      <c r="O11" t="s">
        <v>70</v>
      </c>
      <c r="P11" s="77">
        <v>0.73333333333333328</v>
      </c>
      <c r="T11" s="77"/>
    </row>
    <row r="12" spans="2:20" x14ac:dyDescent="0.25">
      <c r="O12" t="s">
        <v>11</v>
      </c>
      <c r="P12" s="77">
        <v>0.20952380952380953</v>
      </c>
    </row>
    <row r="13" spans="2:20" x14ac:dyDescent="0.25">
      <c r="O13" t="s">
        <v>14</v>
      </c>
      <c r="P13" s="77">
        <v>2.8571428571428571E-2</v>
      </c>
      <c r="T13" s="77"/>
    </row>
    <row r="14" spans="2:20" x14ac:dyDescent="0.25">
      <c r="O14" t="s">
        <v>16</v>
      </c>
      <c r="P14" s="77">
        <v>1.9047619047619049E-2</v>
      </c>
    </row>
    <row r="15" spans="2:20" x14ac:dyDescent="0.25">
      <c r="O15" t="s">
        <v>20</v>
      </c>
      <c r="P15" s="77">
        <v>9.5238095238095247E-3</v>
      </c>
    </row>
  </sheetData>
  <sortState ref="O11:P15">
    <sortCondition descending="1" ref="P11"/>
  </sortState>
  <conditionalFormatting sqref="F4:G5 F3:F4">
    <cfRule type="cellIs" dxfId="10" priority="11" operator="greaterThan">
      <formula>0</formula>
    </cfRule>
    <cfRule type="cellIs" dxfId="9" priority="14" operator="greaterThan">
      <formula>0</formula>
    </cfRule>
  </conditionalFormatting>
  <conditionalFormatting sqref="F6:G6">
    <cfRule type="cellIs" dxfId="8" priority="13" operator="greaterThan">
      <formula>0</formula>
    </cfRule>
  </conditionalFormatting>
  <conditionalFormatting sqref="D4">
    <cfRule type="cellIs" dxfId="7" priority="7" operator="lessThanOrEqual">
      <formula>$E$4</formula>
    </cfRule>
    <cfRule type="cellIs" dxfId="6" priority="12" operator="greaterThan">
      <formula>0</formula>
    </cfRule>
  </conditionalFormatting>
  <conditionalFormatting sqref="E5">
    <cfRule type="cellIs" dxfId="5" priority="10" operator="equal">
      <formula>$D$5</formula>
    </cfRule>
  </conditionalFormatting>
  <conditionalFormatting sqref="E4">
    <cfRule type="cellIs" dxfId="4" priority="6" operator="greaterThanOrEqual">
      <formula>$D$4</formula>
    </cfRule>
    <cfRule type="cellIs" dxfId="3" priority="9" operator="lessThan">
      <formula>$D$4</formula>
    </cfRule>
  </conditionalFormatting>
  <conditionalFormatting sqref="D3">
    <cfRule type="cellIs" dxfId="2" priority="2" operator="equal">
      <formula>$E$4</formula>
    </cfRule>
  </conditionalFormatting>
  <conditionalFormatting sqref="E3">
    <cfRule type="cellIs" dxfId="1" priority="1" operator="equal">
      <formula>$D$3</formula>
    </cfRule>
    <cfRule type="cellIs" dxfId="0" priority="3" operator="notEqual">
      <formula>$D3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2:C211"/>
  <sheetViews>
    <sheetView showGridLines="0" topLeftCell="A3" workbookViewId="0">
      <selection activeCell="C3" sqref="C3:C211"/>
    </sheetView>
  </sheetViews>
  <sheetFormatPr defaultRowHeight="20.100000000000001" customHeight="1" x14ac:dyDescent="0.25"/>
  <cols>
    <col min="1" max="2" width="9" style="46"/>
    <col min="3" max="3" width="17.75" style="48" customWidth="1"/>
    <col min="4" max="16384" width="9" style="46"/>
  </cols>
  <sheetData>
    <row r="2" spans="3:3" ht="20.100000000000001" customHeight="1" x14ac:dyDescent="0.25">
      <c r="C2" s="47" t="s">
        <v>38</v>
      </c>
    </row>
    <row r="3" spans="3:3" ht="20.100000000000001" customHeight="1" x14ac:dyDescent="0.25">
      <c r="C3" s="48">
        <v>42372</v>
      </c>
    </row>
    <row r="4" spans="3:3" ht="20.100000000000001" customHeight="1" x14ac:dyDescent="0.25">
      <c r="C4" s="48">
        <f>C3+7</f>
        <v>42379</v>
      </c>
    </row>
    <row r="5" spans="3:3" ht="20.100000000000001" customHeight="1" x14ac:dyDescent="0.25">
      <c r="C5" s="48">
        <f t="shared" ref="C5:C68" si="0">C4+7</f>
        <v>42386</v>
      </c>
    </row>
    <row r="6" spans="3:3" ht="20.100000000000001" customHeight="1" x14ac:dyDescent="0.25">
      <c r="C6" s="48">
        <f t="shared" si="0"/>
        <v>42393</v>
      </c>
    </row>
    <row r="7" spans="3:3" ht="20.100000000000001" customHeight="1" x14ac:dyDescent="0.25">
      <c r="C7" s="48">
        <f t="shared" si="0"/>
        <v>42400</v>
      </c>
    </row>
    <row r="8" spans="3:3" ht="20.100000000000001" customHeight="1" x14ac:dyDescent="0.25">
      <c r="C8" s="48">
        <f t="shared" si="0"/>
        <v>42407</v>
      </c>
    </row>
    <row r="9" spans="3:3" ht="20.100000000000001" customHeight="1" x14ac:dyDescent="0.25">
      <c r="C9" s="48">
        <f t="shared" si="0"/>
        <v>42414</v>
      </c>
    </row>
    <row r="10" spans="3:3" ht="20.100000000000001" customHeight="1" x14ac:dyDescent="0.25">
      <c r="C10" s="48">
        <f t="shared" si="0"/>
        <v>42421</v>
      </c>
    </row>
    <row r="11" spans="3:3" ht="20.100000000000001" customHeight="1" x14ac:dyDescent="0.25">
      <c r="C11" s="48">
        <f t="shared" si="0"/>
        <v>42428</v>
      </c>
    </row>
    <row r="12" spans="3:3" ht="20.100000000000001" customHeight="1" x14ac:dyDescent="0.25">
      <c r="C12" s="48">
        <f t="shared" si="0"/>
        <v>42435</v>
      </c>
    </row>
    <row r="13" spans="3:3" ht="20.100000000000001" customHeight="1" x14ac:dyDescent="0.25">
      <c r="C13" s="48">
        <f t="shared" si="0"/>
        <v>42442</v>
      </c>
    </row>
    <row r="14" spans="3:3" ht="20.100000000000001" customHeight="1" x14ac:dyDescent="0.25">
      <c r="C14" s="48">
        <f t="shared" si="0"/>
        <v>42449</v>
      </c>
    </row>
    <row r="15" spans="3:3" ht="20.100000000000001" customHeight="1" x14ac:dyDescent="0.25">
      <c r="C15" s="48">
        <f t="shared" si="0"/>
        <v>42456</v>
      </c>
    </row>
    <row r="16" spans="3:3" ht="20.100000000000001" customHeight="1" x14ac:dyDescent="0.25">
      <c r="C16" s="48">
        <f t="shared" si="0"/>
        <v>42463</v>
      </c>
    </row>
    <row r="17" spans="3:3" ht="20.100000000000001" customHeight="1" x14ac:dyDescent="0.25">
      <c r="C17" s="48">
        <f t="shared" si="0"/>
        <v>42470</v>
      </c>
    </row>
    <row r="18" spans="3:3" ht="20.100000000000001" customHeight="1" x14ac:dyDescent="0.25">
      <c r="C18" s="48">
        <f t="shared" si="0"/>
        <v>42477</v>
      </c>
    </row>
    <row r="19" spans="3:3" ht="20.100000000000001" customHeight="1" x14ac:dyDescent="0.25">
      <c r="C19" s="48">
        <f t="shared" si="0"/>
        <v>42484</v>
      </c>
    </row>
    <row r="20" spans="3:3" ht="20.100000000000001" customHeight="1" x14ac:dyDescent="0.25">
      <c r="C20" s="48">
        <f t="shared" si="0"/>
        <v>42491</v>
      </c>
    </row>
    <row r="21" spans="3:3" ht="20.100000000000001" customHeight="1" x14ac:dyDescent="0.25">
      <c r="C21" s="48">
        <f t="shared" si="0"/>
        <v>42498</v>
      </c>
    </row>
    <row r="22" spans="3:3" ht="20.100000000000001" customHeight="1" x14ac:dyDescent="0.25">
      <c r="C22" s="48">
        <f t="shared" si="0"/>
        <v>42505</v>
      </c>
    </row>
    <row r="23" spans="3:3" ht="20.100000000000001" customHeight="1" x14ac:dyDescent="0.25">
      <c r="C23" s="48">
        <f t="shared" si="0"/>
        <v>42512</v>
      </c>
    </row>
    <row r="24" spans="3:3" ht="20.100000000000001" customHeight="1" x14ac:dyDescent="0.25">
      <c r="C24" s="48">
        <f t="shared" si="0"/>
        <v>42519</v>
      </c>
    </row>
    <row r="25" spans="3:3" ht="20.100000000000001" customHeight="1" x14ac:dyDescent="0.25">
      <c r="C25" s="48">
        <f t="shared" si="0"/>
        <v>42526</v>
      </c>
    </row>
    <row r="26" spans="3:3" ht="20.100000000000001" customHeight="1" x14ac:dyDescent="0.25">
      <c r="C26" s="48">
        <f t="shared" si="0"/>
        <v>42533</v>
      </c>
    </row>
    <row r="27" spans="3:3" ht="20.100000000000001" customHeight="1" x14ac:dyDescent="0.25">
      <c r="C27" s="48">
        <f t="shared" si="0"/>
        <v>42540</v>
      </c>
    </row>
    <row r="28" spans="3:3" ht="20.100000000000001" customHeight="1" x14ac:dyDescent="0.25">
      <c r="C28" s="48">
        <f t="shared" si="0"/>
        <v>42547</v>
      </c>
    </row>
    <row r="29" spans="3:3" ht="20.100000000000001" customHeight="1" x14ac:dyDescent="0.25">
      <c r="C29" s="48">
        <f t="shared" si="0"/>
        <v>42554</v>
      </c>
    </row>
    <row r="30" spans="3:3" ht="20.100000000000001" customHeight="1" x14ac:dyDescent="0.25">
      <c r="C30" s="48">
        <f t="shared" si="0"/>
        <v>42561</v>
      </c>
    </row>
    <row r="31" spans="3:3" ht="20.100000000000001" customHeight="1" x14ac:dyDescent="0.25">
      <c r="C31" s="48">
        <f t="shared" si="0"/>
        <v>42568</v>
      </c>
    </row>
    <row r="32" spans="3:3" ht="20.100000000000001" customHeight="1" x14ac:dyDescent="0.25">
      <c r="C32" s="48">
        <f t="shared" si="0"/>
        <v>42575</v>
      </c>
    </row>
    <row r="33" spans="3:3" ht="20.100000000000001" customHeight="1" x14ac:dyDescent="0.25">
      <c r="C33" s="48">
        <f t="shared" si="0"/>
        <v>42582</v>
      </c>
    </row>
    <row r="34" spans="3:3" ht="20.100000000000001" customHeight="1" x14ac:dyDescent="0.25">
      <c r="C34" s="48">
        <f t="shared" si="0"/>
        <v>42589</v>
      </c>
    </row>
    <row r="35" spans="3:3" ht="20.100000000000001" customHeight="1" x14ac:dyDescent="0.25">
      <c r="C35" s="48">
        <f t="shared" si="0"/>
        <v>42596</v>
      </c>
    </row>
    <row r="36" spans="3:3" ht="20.100000000000001" customHeight="1" x14ac:dyDescent="0.25">
      <c r="C36" s="48">
        <f t="shared" si="0"/>
        <v>42603</v>
      </c>
    </row>
    <row r="37" spans="3:3" ht="20.100000000000001" customHeight="1" x14ac:dyDescent="0.25">
      <c r="C37" s="48">
        <f t="shared" si="0"/>
        <v>42610</v>
      </c>
    </row>
    <row r="38" spans="3:3" ht="20.100000000000001" customHeight="1" x14ac:dyDescent="0.25">
      <c r="C38" s="48">
        <f t="shared" si="0"/>
        <v>42617</v>
      </c>
    </row>
    <row r="39" spans="3:3" ht="20.100000000000001" customHeight="1" x14ac:dyDescent="0.25">
      <c r="C39" s="48">
        <f t="shared" si="0"/>
        <v>42624</v>
      </c>
    </row>
    <row r="40" spans="3:3" ht="20.100000000000001" customHeight="1" x14ac:dyDescent="0.25">
      <c r="C40" s="48">
        <f t="shared" si="0"/>
        <v>42631</v>
      </c>
    </row>
    <row r="41" spans="3:3" ht="20.100000000000001" customHeight="1" x14ac:dyDescent="0.25">
      <c r="C41" s="48">
        <f t="shared" si="0"/>
        <v>42638</v>
      </c>
    </row>
    <row r="42" spans="3:3" ht="20.100000000000001" customHeight="1" x14ac:dyDescent="0.25">
      <c r="C42" s="48">
        <f t="shared" si="0"/>
        <v>42645</v>
      </c>
    </row>
    <row r="43" spans="3:3" ht="20.100000000000001" customHeight="1" x14ac:dyDescent="0.25">
      <c r="C43" s="48">
        <f t="shared" si="0"/>
        <v>42652</v>
      </c>
    </row>
    <row r="44" spans="3:3" ht="20.100000000000001" customHeight="1" x14ac:dyDescent="0.25">
      <c r="C44" s="48">
        <f t="shared" si="0"/>
        <v>42659</v>
      </c>
    </row>
    <row r="45" spans="3:3" ht="20.100000000000001" customHeight="1" x14ac:dyDescent="0.25">
      <c r="C45" s="48">
        <f t="shared" si="0"/>
        <v>42666</v>
      </c>
    </row>
    <row r="46" spans="3:3" ht="20.100000000000001" customHeight="1" x14ac:dyDescent="0.25">
      <c r="C46" s="48">
        <f t="shared" si="0"/>
        <v>42673</v>
      </c>
    </row>
    <row r="47" spans="3:3" ht="20.100000000000001" customHeight="1" x14ac:dyDescent="0.25">
      <c r="C47" s="48">
        <f t="shared" si="0"/>
        <v>42680</v>
      </c>
    </row>
    <row r="48" spans="3:3" ht="20.100000000000001" customHeight="1" x14ac:dyDescent="0.25">
      <c r="C48" s="48">
        <f t="shared" si="0"/>
        <v>42687</v>
      </c>
    </row>
    <row r="49" spans="3:3" ht="20.100000000000001" customHeight="1" x14ac:dyDescent="0.25">
      <c r="C49" s="48">
        <f t="shared" si="0"/>
        <v>42694</v>
      </c>
    </row>
    <row r="50" spans="3:3" ht="20.100000000000001" customHeight="1" x14ac:dyDescent="0.25">
      <c r="C50" s="48">
        <f t="shared" si="0"/>
        <v>42701</v>
      </c>
    </row>
    <row r="51" spans="3:3" ht="20.100000000000001" customHeight="1" x14ac:dyDescent="0.25">
      <c r="C51" s="48">
        <f t="shared" si="0"/>
        <v>42708</v>
      </c>
    </row>
    <row r="52" spans="3:3" ht="20.100000000000001" customHeight="1" x14ac:dyDescent="0.25">
      <c r="C52" s="48">
        <f t="shared" si="0"/>
        <v>42715</v>
      </c>
    </row>
    <row r="53" spans="3:3" ht="20.100000000000001" customHeight="1" x14ac:dyDescent="0.25">
      <c r="C53" s="48">
        <f t="shared" si="0"/>
        <v>42722</v>
      </c>
    </row>
    <row r="54" spans="3:3" ht="20.100000000000001" customHeight="1" x14ac:dyDescent="0.25">
      <c r="C54" s="48">
        <f t="shared" si="0"/>
        <v>42729</v>
      </c>
    </row>
    <row r="55" spans="3:3" ht="20.100000000000001" customHeight="1" x14ac:dyDescent="0.25">
      <c r="C55" s="48">
        <f t="shared" si="0"/>
        <v>42736</v>
      </c>
    </row>
    <row r="56" spans="3:3" ht="20.100000000000001" customHeight="1" x14ac:dyDescent="0.25">
      <c r="C56" s="48">
        <f t="shared" si="0"/>
        <v>42743</v>
      </c>
    </row>
    <row r="57" spans="3:3" ht="20.100000000000001" customHeight="1" x14ac:dyDescent="0.25">
      <c r="C57" s="48">
        <f t="shared" si="0"/>
        <v>42750</v>
      </c>
    </row>
    <row r="58" spans="3:3" ht="20.100000000000001" customHeight="1" x14ac:dyDescent="0.25">
      <c r="C58" s="48">
        <f t="shared" si="0"/>
        <v>42757</v>
      </c>
    </row>
    <row r="59" spans="3:3" ht="20.100000000000001" customHeight="1" x14ac:dyDescent="0.25">
      <c r="C59" s="48">
        <f t="shared" si="0"/>
        <v>42764</v>
      </c>
    </row>
    <row r="60" spans="3:3" ht="20.100000000000001" customHeight="1" x14ac:dyDescent="0.25">
      <c r="C60" s="48">
        <f t="shared" si="0"/>
        <v>42771</v>
      </c>
    </row>
    <row r="61" spans="3:3" ht="20.100000000000001" customHeight="1" x14ac:dyDescent="0.25">
      <c r="C61" s="48">
        <f t="shared" si="0"/>
        <v>42778</v>
      </c>
    </row>
    <row r="62" spans="3:3" ht="20.100000000000001" customHeight="1" x14ac:dyDescent="0.25">
      <c r="C62" s="48">
        <f t="shared" si="0"/>
        <v>42785</v>
      </c>
    </row>
    <row r="63" spans="3:3" ht="20.100000000000001" customHeight="1" x14ac:dyDescent="0.25">
      <c r="C63" s="48">
        <f t="shared" si="0"/>
        <v>42792</v>
      </c>
    </row>
    <row r="64" spans="3:3" ht="20.100000000000001" customHeight="1" x14ac:dyDescent="0.25">
      <c r="C64" s="48">
        <f t="shared" si="0"/>
        <v>42799</v>
      </c>
    </row>
    <row r="65" spans="3:3" ht="20.100000000000001" customHeight="1" x14ac:dyDescent="0.25">
      <c r="C65" s="48">
        <f t="shared" si="0"/>
        <v>42806</v>
      </c>
    </row>
    <row r="66" spans="3:3" ht="20.100000000000001" customHeight="1" x14ac:dyDescent="0.25">
      <c r="C66" s="48">
        <f t="shared" si="0"/>
        <v>42813</v>
      </c>
    </row>
    <row r="67" spans="3:3" ht="20.100000000000001" customHeight="1" x14ac:dyDescent="0.25">
      <c r="C67" s="48">
        <f t="shared" si="0"/>
        <v>42820</v>
      </c>
    </row>
    <row r="68" spans="3:3" ht="20.100000000000001" customHeight="1" x14ac:dyDescent="0.25">
      <c r="C68" s="48">
        <f t="shared" si="0"/>
        <v>42827</v>
      </c>
    </row>
    <row r="69" spans="3:3" ht="20.100000000000001" customHeight="1" x14ac:dyDescent="0.25">
      <c r="C69" s="48">
        <f t="shared" ref="C69:C132" si="1">C68+7</f>
        <v>42834</v>
      </c>
    </row>
    <row r="70" spans="3:3" ht="20.100000000000001" customHeight="1" x14ac:dyDescent="0.25">
      <c r="C70" s="48">
        <f t="shared" si="1"/>
        <v>42841</v>
      </c>
    </row>
    <row r="71" spans="3:3" ht="20.100000000000001" customHeight="1" x14ac:dyDescent="0.25">
      <c r="C71" s="48">
        <f t="shared" si="1"/>
        <v>42848</v>
      </c>
    </row>
    <row r="72" spans="3:3" ht="20.100000000000001" customHeight="1" x14ac:dyDescent="0.25">
      <c r="C72" s="48">
        <f t="shared" si="1"/>
        <v>42855</v>
      </c>
    </row>
    <row r="73" spans="3:3" ht="20.100000000000001" customHeight="1" x14ac:dyDescent="0.25">
      <c r="C73" s="48">
        <f t="shared" si="1"/>
        <v>42862</v>
      </c>
    </row>
    <row r="74" spans="3:3" ht="20.100000000000001" customHeight="1" x14ac:dyDescent="0.25">
      <c r="C74" s="48">
        <f t="shared" si="1"/>
        <v>42869</v>
      </c>
    </row>
    <row r="75" spans="3:3" ht="20.100000000000001" customHeight="1" x14ac:dyDescent="0.25">
      <c r="C75" s="48">
        <f t="shared" si="1"/>
        <v>42876</v>
      </c>
    </row>
    <row r="76" spans="3:3" ht="20.100000000000001" customHeight="1" x14ac:dyDescent="0.25">
      <c r="C76" s="48">
        <f t="shared" si="1"/>
        <v>42883</v>
      </c>
    </row>
    <row r="77" spans="3:3" ht="20.100000000000001" customHeight="1" x14ac:dyDescent="0.25">
      <c r="C77" s="48">
        <f t="shared" si="1"/>
        <v>42890</v>
      </c>
    </row>
    <row r="78" spans="3:3" ht="20.100000000000001" customHeight="1" x14ac:dyDescent="0.25">
      <c r="C78" s="48">
        <f t="shared" si="1"/>
        <v>42897</v>
      </c>
    </row>
    <row r="79" spans="3:3" ht="20.100000000000001" customHeight="1" x14ac:dyDescent="0.25">
      <c r="C79" s="48">
        <f t="shared" si="1"/>
        <v>42904</v>
      </c>
    </row>
    <row r="80" spans="3:3" ht="20.100000000000001" customHeight="1" x14ac:dyDescent="0.25">
      <c r="C80" s="48">
        <f t="shared" si="1"/>
        <v>42911</v>
      </c>
    </row>
    <row r="81" spans="3:3" ht="20.100000000000001" customHeight="1" x14ac:dyDescent="0.25">
      <c r="C81" s="48">
        <f t="shared" si="1"/>
        <v>42918</v>
      </c>
    </row>
    <row r="82" spans="3:3" ht="20.100000000000001" customHeight="1" x14ac:dyDescent="0.25">
      <c r="C82" s="48">
        <f t="shared" si="1"/>
        <v>42925</v>
      </c>
    </row>
    <row r="83" spans="3:3" ht="20.100000000000001" customHeight="1" x14ac:dyDescent="0.25">
      <c r="C83" s="48">
        <f t="shared" si="1"/>
        <v>42932</v>
      </c>
    </row>
    <row r="84" spans="3:3" ht="20.100000000000001" customHeight="1" x14ac:dyDescent="0.25">
      <c r="C84" s="48">
        <f t="shared" si="1"/>
        <v>42939</v>
      </c>
    </row>
    <row r="85" spans="3:3" ht="20.100000000000001" customHeight="1" x14ac:dyDescent="0.25">
      <c r="C85" s="48">
        <f t="shared" si="1"/>
        <v>42946</v>
      </c>
    </row>
    <row r="86" spans="3:3" ht="20.100000000000001" customHeight="1" x14ac:dyDescent="0.25">
      <c r="C86" s="48">
        <f t="shared" si="1"/>
        <v>42953</v>
      </c>
    </row>
    <row r="87" spans="3:3" ht="20.100000000000001" customHeight="1" x14ac:dyDescent="0.25">
      <c r="C87" s="48">
        <f t="shared" si="1"/>
        <v>42960</v>
      </c>
    </row>
    <row r="88" spans="3:3" ht="20.100000000000001" customHeight="1" x14ac:dyDescent="0.25">
      <c r="C88" s="48">
        <f t="shared" si="1"/>
        <v>42967</v>
      </c>
    </row>
    <row r="89" spans="3:3" ht="20.100000000000001" customHeight="1" x14ac:dyDescent="0.25">
      <c r="C89" s="48">
        <f t="shared" si="1"/>
        <v>42974</v>
      </c>
    </row>
    <row r="90" spans="3:3" ht="20.100000000000001" customHeight="1" x14ac:dyDescent="0.25">
      <c r="C90" s="48">
        <f t="shared" si="1"/>
        <v>42981</v>
      </c>
    </row>
    <row r="91" spans="3:3" ht="20.100000000000001" customHeight="1" x14ac:dyDescent="0.25">
      <c r="C91" s="48">
        <f t="shared" si="1"/>
        <v>42988</v>
      </c>
    </row>
    <row r="92" spans="3:3" ht="20.100000000000001" customHeight="1" x14ac:dyDescent="0.25">
      <c r="C92" s="48">
        <f t="shared" si="1"/>
        <v>42995</v>
      </c>
    </row>
    <row r="93" spans="3:3" ht="20.100000000000001" customHeight="1" x14ac:dyDescent="0.25">
      <c r="C93" s="48">
        <f t="shared" si="1"/>
        <v>43002</v>
      </c>
    </row>
    <row r="94" spans="3:3" ht="20.100000000000001" customHeight="1" x14ac:dyDescent="0.25">
      <c r="C94" s="48">
        <f t="shared" si="1"/>
        <v>43009</v>
      </c>
    </row>
    <row r="95" spans="3:3" ht="20.100000000000001" customHeight="1" x14ac:dyDescent="0.25">
      <c r="C95" s="48">
        <f t="shared" si="1"/>
        <v>43016</v>
      </c>
    </row>
    <row r="96" spans="3:3" ht="20.100000000000001" customHeight="1" x14ac:dyDescent="0.25">
      <c r="C96" s="48">
        <f t="shared" si="1"/>
        <v>43023</v>
      </c>
    </row>
    <row r="97" spans="3:3" ht="20.100000000000001" customHeight="1" x14ac:dyDescent="0.25">
      <c r="C97" s="48">
        <f t="shared" si="1"/>
        <v>43030</v>
      </c>
    </row>
    <row r="98" spans="3:3" ht="20.100000000000001" customHeight="1" x14ac:dyDescent="0.25">
      <c r="C98" s="48">
        <f t="shared" si="1"/>
        <v>43037</v>
      </c>
    </row>
    <row r="99" spans="3:3" ht="20.100000000000001" customHeight="1" x14ac:dyDescent="0.25">
      <c r="C99" s="48">
        <f t="shared" si="1"/>
        <v>43044</v>
      </c>
    </row>
    <row r="100" spans="3:3" ht="20.100000000000001" customHeight="1" x14ac:dyDescent="0.25">
      <c r="C100" s="48">
        <f t="shared" si="1"/>
        <v>43051</v>
      </c>
    </row>
    <row r="101" spans="3:3" ht="20.100000000000001" customHeight="1" x14ac:dyDescent="0.25">
      <c r="C101" s="48">
        <f t="shared" si="1"/>
        <v>43058</v>
      </c>
    </row>
    <row r="102" spans="3:3" ht="20.100000000000001" customHeight="1" x14ac:dyDescent="0.25">
      <c r="C102" s="48">
        <f t="shared" si="1"/>
        <v>43065</v>
      </c>
    </row>
    <row r="103" spans="3:3" ht="20.100000000000001" customHeight="1" x14ac:dyDescent="0.25">
      <c r="C103" s="48">
        <f t="shared" si="1"/>
        <v>43072</v>
      </c>
    </row>
    <row r="104" spans="3:3" ht="20.100000000000001" customHeight="1" x14ac:dyDescent="0.25">
      <c r="C104" s="48">
        <f t="shared" si="1"/>
        <v>43079</v>
      </c>
    </row>
    <row r="105" spans="3:3" ht="20.100000000000001" customHeight="1" x14ac:dyDescent="0.25">
      <c r="C105" s="48">
        <f t="shared" si="1"/>
        <v>43086</v>
      </c>
    </row>
    <row r="106" spans="3:3" ht="20.100000000000001" customHeight="1" x14ac:dyDescent="0.25">
      <c r="C106" s="48">
        <f t="shared" si="1"/>
        <v>43093</v>
      </c>
    </row>
    <row r="107" spans="3:3" ht="20.100000000000001" customHeight="1" x14ac:dyDescent="0.25">
      <c r="C107" s="48">
        <f t="shared" si="1"/>
        <v>43100</v>
      </c>
    </row>
    <row r="108" spans="3:3" ht="20.100000000000001" customHeight="1" x14ac:dyDescent="0.25">
      <c r="C108" s="48">
        <f t="shared" si="1"/>
        <v>43107</v>
      </c>
    </row>
    <row r="109" spans="3:3" ht="20.100000000000001" customHeight="1" x14ac:dyDescent="0.25">
      <c r="C109" s="48">
        <f t="shared" si="1"/>
        <v>43114</v>
      </c>
    </row>
    <row r="110" spans="3:3" ht="20.100000000000001" customHeight="1" x14ac:dyDescent="0.25">
      <c r="C110" s="48">
        <f t="shared" si="1"/>
        <v>43121</v>
      </c>
    </row>
    <row r="111" spans="3:3" ht="20.100000000000001" customHeight="1" x14ac:dyDescent="0.25">
      <c r="C111" s="48">
        <f t="shared" si="1"/>
        <v>43128</v>
      </c>
    </row>
    <row r="112" spans="3:3" ht="20.100000000000001" customHeight="1" x14ac:dyDescent="0.25">
      <c r="C112" s="48">
        <f t="shared" si="1"/>
        <v>43135</v>
      </c>
    </row>
    <row r="113" spans="3:3" ht="20.100000000000001" customHeight="1" x14ac:dyDescent="0.25">
      <c r="C113" s="48">
        <f t="shared" si="1"/>
        <v>43142</v>
      </c>
    </row>
    <row r="114" spans="3:3" ht="20.100000000000001" customHeight="1" x14ac:dyDescent="0.25">
      <c r="C114" s="48">
        <f t="shared" si="1"/>
        <v>43149</v>
      </c>
    </row>
    <row r="115" spans="3:3" ht="20.100000000000001" customHeight="1" x14ac:dyDescent="0.25">
      <c r="C115" s="48">
        <f t="shared" si="1"/>
        <v>43156</v>
      </c>
    </row>
    <row r="116" spans="3:3" ht="20.100000000000001" customHeight="1" x14ac:dyDescent="0.25">
      <c r="C116" s="48">
        <f t="shared" si="1"/>
        <v>43163</v>
      </c>
    </row>
    <row r="117" spans="3:3" ht="20.100000000000001" customHeight="1" x14ac:dyDescent="0.25">
      <c r="C117" s="48">
        <f t="shared" si="1"/>
        <v>43170</v>
      </c>
    </row>
    <row r="118" spans="3:3" ht="20.100000000000001" customHeight="1" x14ac:dyDescent="0.25">
      <c r="C118" s="48">
        <f t="shared" si="1"/>
        <v>43177</v>
      </c>
    </row>
    <row r="119" spans="3:3" ht="20.100000000000001" customHeight="1" x14ac:dyDescent="0.25">
      <c r="C119" s="48">
        <f t="shared" si="1"/>
        <v>43184</v>
      </c>
    </row>
    <row r="120" spans="3:3" ht="20.100000000000001" customHeight="1" x14ac:dyDescent="0.25">
      <c r="C120" s="48">
        <f t="shared" si="1"/>
        <v>43191</v>
      </c>
    </row>
    <row r="121" spans="3:3" ht="20.100000000000001" customHeight="1" x14ac:dyDescent="0.25">
      <c r="C121" s="48">
        <f t="shared" si="1"/>
        <v>43198</v>
      </c>
    </row>
    <row r="122" spans="3:3" ht="20.100000000000001" customHeight="1" x14ac:dyDescent="0.25">
      <c r="C122" s="48">
        <f t="shared" si="1"/>
        <v>43205</v>
      </c>
    </row>
    <row r="123" spans="3:3" ht="20.100000000000001" customHeight="1" x14ac:dyDescent="0.25">
      <c r="C123" s="48">
        <f t="shared" si="1"/>
        <v>43212</v>
      </c>
    </row>
    <row r="124" spans="3:3" ht="20.100000000000001" customHeight="1" x14ac:dyDescent="0.25">
      <c r="C124" s="48">
        <f t="shared" si="1"/>
        <v>43219</v>
      </c>
    </row>
    <row r="125" spans="3:3" ht="20.100000000000001" customHeight="1" x14ac:dyDescent="0.25">
      <c r="C125" s="48">
        <f t="shared" si="1"/>
        <v>43226</v>
      </c>
    </row>
    <row r="126" spans="3:3" ht="20.100000000000001" customHeight="1" x14ac:dyDescent="0.25">
      <c r="C126" s="48">
        <f t="shared" si="1"/>
        <v>43233</v>
      </c>
    </row>
    <row r="127" spans="3:3" ht="20.100000000000001" customHeight="1" x14ac:dyDescent="0.25">
      <c r="C127" s="48">
        <f t="shared" si="1"/>
        <v>43240</v>
      </c>
    </row>
    <row r="128" spans="3:3" ht="20.100000000000001" customHeight="1" x14ac:dyDescent="0.25">
      <c r="C128" s="48">
        <f t="shared" si="1"/>
        <v>43247</v>
      </c>
    </row>
    <row r="129" spans="3:3" ht="20.100000000000001" customHeight="1" x14ac:dyDescent="0.25">
      <c r="C129" s="48">
        <f t="shared" si="1"/>
        <v>43254</v>
      </c>
    </row>
    <row r="130" spans="3:3" ht="20.100000000000001" customHeight="1" x14ac:dyDescent="0.25">
      <c r="C130" s="48">
        <f t="shared" si="1"/>
        <v>43261</v>
      </c>
    </row>
    <row r="131" spans="3:3" ht="20.100000000000001" customHeight="1" x14ac:dyDescent="0.25">
      <c r="C131" s="48">
        <f t="shared" si="1"/>
        <v>43268</v>
      </c>
    </row>
    <row r="132" spans="3:3" ht="20.100000000000001" customHeight="1" x14ac:dyDescent="0.25">
      <c r="C132" s="48">
        <f t="shared" si="1"/>
        <v>43275</v>
      </c>
    </row>
    <row r="133" spans="3:3" ht="20.100000000000001" customHeight="1" x14ac:dyDescent="0.25">
      <c r="C133" s="48">
        <f t="shared" ref="C133:C196" si="2">C132+7</f>
        <v>43282</v>
      </c>
    </row>
    <row r="134" spans="3:3" ht="20.100000000000001" customHeight="1" x14ac:dyDescent="0.25">
      <c r="C134" s="48">
        <f t="shared" si="2"/>
        <v>43289</v>
      </c>
    </row>
    <row r="135" spans="3:3" ht="20.100000000000001" customHeight="1" x14ac:dyDescent="0.25">
      <c r="C135" s="48">
        <f t="shared" si="2"/>
        <v>43296</v>
      </c>
    </row>
    <row r="136" spans="3:3" ht="20.100000000000001" customHeight="1" x14ac:dyDescent="0.25">
      <c r="C136" s="48">
        <f t="shared" si="2"/>
        <v>43303</v>
      </c>
    </row>
    <row r="137" spans="3:3" ht="20.100000000000001" customHeight="1" x14ac:dyDescent="0.25">
      <c r="C137" s="48">
        <f t="shared" si="2"/>
        <v>43310</v>
      </c>
    </row>
    <row r="138" spans="3:3" ht="20.100000000000001" customHeight="1" x14ac:dyDescent="0.25">
      <c r="C138" s="48">
        <f t="shared" si="2"/>
        <v>43317</v>
      </c>
    </row>
    <row r="139" spans="3:3" ht="20.100000000000001" customHeight="1" x14ac:dyDescent="0.25">
      <c r="C139" s="48">
        <f t="shared" si="2"/>
        <v>43324</v>
      </c>
    </row>
    <row r="140" spans="3:3" ht="20.100000000000001" customHeight="1" x14ac:dyDescent="0.25">
      <c r="C140" s="48">
        <f t="shared" si="2"/>
        <v>43331</v>
      </c>
    </row>
    <row r="141" spans="3:3" ht="20.100000000000001" customHeight="1" x14ac:dyDescent="0.25">
      <c r="C141" s="48">
        <f t="shared" si="2"/>
        <v>43338</v>
      </c>
    </row>
    <row r="142" spans="3:3" ht="20.100000000000001" customHeight="1" x14ac:dyDescent="0.25">
      <c r="C142" s="48">
        <f t="shared" si="2"/>
        <v>43345</v>
      </c>
    </row>
    <row r="143" spans="3:3" ht="20.100000000000001" customHeight="1" x14ac:dyDescent="0.25">
      <c r="C143" s="48">
        <f t="shared" si="2"/>
        <v>43352</v>
      </c>
    </row>
    <row r="144" spans="3:3" ht="20.100000000000001" customHeight="1" x14ac:dyDescent="0.25">
      <c r="C144" s="48">
        <f t="shared" si="2"/>
        <v>43359</v>
      </c>
    </row>
    <row r="145" spans="3:3" ht="20.100000000000001" customHeight="1" x14ac:dyDescent="0.25">
      <c r="C145" s="48">
        <f t="shared" si="2"/>
        <v>43366</v>
      </c>
    </row>
    <row r="146" spans="3:3" ht="20.100000000000001" customHeight="1" x14ac:dyDescent="0.25">
      <c r="C146" s="48">
        <f t="shared" si="2"/>
        <v>43373</v>
      </c>
    </row>
    <row r="147" spans="3:3" ht="20.100000000000001" customHeight="1" x14ac:dyDescent="0.25">
      <c r="C147" s="48">
        <f t="shared" si="2"/>
        <v>43380</v>
      </c>
    </row>
    <row r="148" spans="3:3" ht="20.100000000000001" customHeight="1" x14ac:dyDescent="0.25">
      <c r="C148" s="48">
        <f t="shared" si="2"/>
        <v>43387</v>
      </c>
    </row>
    <row r="149" spans="3:3" ht="20.100000000000001" customHeight="1" x14ac:dyDescent="0.25">
      <c r="C149" s="48">
        <f t="shared" si="2"/>
        <v>43394</v>
      </c>
    </row>
    <row r="150" spans="3:3" ht="20.100000000000001" customHeight="1" x14ac:dyDescent="0.25">
      <c r="C150" s="48">
        <f t="shared" si="2"/>
        <v>43401</v>
      </c>
    </row>
    <row r="151" spans="3:3" ht="20.100000000000001" customHeight="1" x14ac:dyDescent="0.25">
      <c r="C151" s="48">
        <f t="shared" si="2"/>
        <v>43408</v>
      </c>
    </row>
    <row r="152" spans="3:3" ht="20.100000000000001" customHeight="1" x14ac:dyDescent="0.25">
      <c r="C152" s="48">
        <f t="shared" si="2"/>
        <v>43415</v>
      </c>
    </row>
    <row r="153" spans="3:3" ht="20.100000000000001" customHeight="1" x14ac:dyDescent="0.25">
      <c r="C153" s="48">
        <f t="shared" si="2"/>
        <v>43422</v>
      </c>
    </row>
    <row r="154" spans="3:3" ht="20.100000000000001" customHeight="1" x14ac:dyDescent="0.25">
      <c r="C154" s="48">
        <f t="shared" si="2"/>
        <v>43429</v>
      </c>
    </row>
    <row r="155" spans="3:3" ht="20.100000000000001" customHeight="1" x14ac:dyDescent="0.25">
      <c r="C155" s="48">
        <f t="shared" si="2"/>
        <v>43436</v>
      </c>
    </row>
    <row r="156" spans="3:3" ht="20.100000000000001" customHeight="1" x14ac:dyDescent="0.25">
      <c r="C156" s="48">
        <f t="shared" si="2"/>
        <v>43443</v>
      </c>
    </row>
    <row r="157" spans="3:3" ht="20.100000000000001" customHeight="1" x14ac:dyDescent="0.25">
      <c r="C157" s="48">
        <f t="shared" si="2"/>
        <v>43450</v>
      </c>
    </row>
    <row r="158" spans="3:3" ht="20.100000000000001" customHeight="1" x14ac:dyDescent="0.25">
      <c r="C158" s="48">
        <f t="shared" si="2"/>
        <v>43457</v>
      </c>
    </row>
    <row r="159" spans="3:3" ht="20.100000000000001" customHeight="1" x14ac:dyDescent="0.25">
      <c r="C159" s="48">
        <f t="shared" si="2"/>
        <v>43464</v>
      </c>
    </row>
    <row r="160" spans="3:3" ht="20.100000000000001" customHeight="1" x14ac:dyDescent="0.25">
      <c r="C160" s="48">
        <f t="shared" si="2"/>
        <v>43471</v>
      </c>
    </row>
    <row r="161" spans="3:3" ht="20.100000000000001" customHeight="1" x14ac:dyDescent="0.25">
      <c r="C161" s="48">
        <f t="shared" si="2"/>
        <v>43478</v>
      </c>
    </row>
    <row r="162" spans="3:3" ht="20.100000000000001" customHeight="1" x14ac:dyDescent="0.25">
      <c r="C162" s="48">
        <f t="shared" si="2"/>
        <v>43485</v>
      </c>
    </row>
    <row r="163" spans="3:3" ht="20.100000000000001" customHeight="1" x14ac:dyDescent="0.25">
      <c r="C163" s="48">
        <f t="shared" si="2"/>
        <v>43492</v>
      </c>
    </row>
    <row r="164" spans="3:3" ht="20.100000000000001" customHeight="1" x14ac:dyDescent="0.25">
      <c r="C164" s="48">
        <f t="shared" si="2"/>
        <v>43499</v>
      </c>
    </row>
    <row r="165" spans="3:3" ht="20.100000000000001" customHeight="1" x14ac:dyDescent="0.25">
      <c r="C165" s="48">
        <f t="shared" si="2"/>
        <v>43506</v>
      </c>
    </row>
    <row r="166" spans="3:3" ht="20.100000000000001" customHeight="1" x14ac:dyDescent="0.25">
      <c r="C166" s="48">
        <f t="shared" si="2"/>
        <v>43513</v>
      </c>
    </row>
    <row r="167" spans="3:3" ht="20.100000000000001" customHeight="1" x14ac:dyDescent="0.25">
      <c r="C167" s="48">
        <f t="shared" si="2"/>
        <v>43520</v>
      </c>
    </row>
    <row r="168" spans="3:3" ht="20.100000000000001" customHeight="1" x14ac:dyDescent="0.25">
      <c r="C168" s="48">
        <f t="shared" si="2"/>
        <v>43527</v>
      </c>
    </row>
    <row r="169" spans="3:3" ht="20.100000000000001" customHeight="1" x14ac:dyDescent="0.25">
      <c r="C169" s="48">
        <f t="shared" si="2"/>
        <v>43534</v>
      </c>
    </row>
    <row r="170" spans="3:3" ht="20.100000000000001" customHeight="1" x14ac:dyDescent="0.25">
      <c r="C170" s="48">
        <f t="shared" si="2"/>
        <v>43541</v>
      </c>
    </row>
    <row r="171" spans="3:3" ht="20.100000000000001" customHeight="1" x14ac:dyDescent="0.25">
      <c r="C171" s="48">
        <f t="shared" si="2"/>
        <v>43548</v>
      </c>
    </row>
    <row r="172" spans="3:3" ht="20.100000000000001" customHeight="1" x14ac:dyDescent="0.25">
      <c r="C172" s="48">
        <f t="shared" si="2"/>
        <v>43555</v>
      </c>
    </row>
    <row r="173" spans="3:3" ht="20.100000000000001" customHeight="1" x14ac:dyDescent="0.25">
      <c r="C173" s="48">
        <f t="shared" si="2"/>
        <v>43562</v>
      </c>
    </row>
    <row r="174" spans="3:3" ht="20.100000000000001" customHeight="1" x14ac:dyDescent="0.25">
      <c r="C174" s="48">
        <f t="shared" si="2"/>
        <v>43569</v>
      </c>
    </row>
    <row r="175" spans="3:3" ht="20.100000000000001" customHeight="1" x14ac:dyDescent="0.25">
      <c r="C175" s="48">
        <f t="shared" si="2"/>
        <v>43576</v>
      </c>
    </row>
    <row r="176" spans="3:3" ht="20.100000000000001" customHeight="1" x14ac:dyDescent="0.25">
      <c r="C176" s="48">
        <f t="shared" si="2"/>
        <v>43583</v>
      </c>
    </row>
    <row r="177" spans="3:3" ht="20.100000000000001" customHeight="1" x14ac:dyDescent="0.25">
      <c r="C177" s="48">
        <f t="shared" si="2"/>
        <v>43590</v>
      </c>
    </row>
    <row r="178" spans="3:3" ht="20.100000000000001" customHeight="1" x14ac:dyDescent="0.25">
      <c r="C178" s="48">
        <f t="shared" si="2"/>
        <v>43597</v>
      </c>
    </row>
    <row r="179" spans="3:3" ht="20.100000000000001" customHeight="1" x14ac:dyDescent="0.25">
      <c r="C179" s="48">
        <f t="shared" si="2"/>
        <v>43604</v>
      </c>
    </row>
    <row r="180" spans="3:3" ht="20.100000000000001" customHeight="1" x14ac:dyDescent="0.25">
      <c r="C180" s="48">
        <f t="shared" si="2"/>
        <v>43611</v>
      </c>
    </row>
    <row r="181" spans="3:3" ht="20.100000000000001" customHeight="1" x14ac:dyDescent="0.25">
      <c r="C181" s="48">
        <f t="shared" si="2"/>
        <v>43618</v>
      </c>
    </row>
    <row r="182" spans="3:3" ht="20.100000000000001" customHeight="1" x14ac:dyDescent="0.25">
      <c r="C182" s="48">
        <f t="shared" si="2"/>
        <v>43625</v>
      </c>
    </row>
    <row r="183" spans="3:3" ht="20.100000000000001" customHeight="1" x14ac:dyDescent="0.25">
      <c r="C183" s="48">
        <f t="shared" si="2"/>
        <v>43632</v>
      </c>
    </row>
    <row r="184" spans="3:3" ht="20.100000000000001" customHeight="1" x14ac:dyDescent="0.25">
      <c r="C184" s="48">
        <f t="shared" si="2"/>
        <v>43639</v>
      </c>
    </row>
    <row r="185" spans="3:3" ht="20.100000000000001" customHeight="1" x14ac:dyDescent="0.25">
      <c r="C185" s="48">
        <f t="shared" si="2"/>
        <v>43646</v>
      </c>
    </row>
    <row r="186" spans="3:3" ht="20.100000000000001" customHeight="1" x14ac:dyDescent="0.25">
      <c r="C186" s="48">
        <f t="shared" si="2"/>
        <v>43653</v>
      </c>
    </row>
    <row r="187" spans="3:3" ht="20.100000000000001" customHeight="1" x14ac:dyDescent="0.25">
      <c r="C187" s="48">
        <f t="shared" si="2"/>
        <v>43660</v>
      </c>
    </row>
    <row r="188" spans="3:3" ht="20.100000000000001" customHeight="1" x14ac:dyDescent="0.25">
      <c r="C188" s="48">
        <f t="shared" si="2"/>
        <v>43667</v>
      </c>
    </row>
    <row r="189" spans="3:3" ht="20.100000000000001" customHeight="1" x14ac:dyDescent="0.25">
      <c r="C189" s="48">
        <f t="shared" si="2"/>
        <v>43674</v>
      </c>
    </row>
    <row r="190" spans="3:3" ht="20.100000000000001" customHeight="1" x14ac:dyDescent="0.25">
      <c r="C190" s="48">
        <f t="shared" si="2"/>
        <v>43681</v>
      </c>
    </row>
    <row r="191" spans="3:3" ht="20.100000000000001" customHeight="1" x14ac:dyDescent="0.25">
      <c r="C191" s="48">
        <f t="shared" si="2"/>
        <v>43688</v>
      </c>
    </row>
    <row r="192" spans="3:3" ht="20.100000000000001" customHeight="1" x14ac:dyDescent="0.25">
      <c r="C192" s="48">
        <f t="shared" si="2"/>
        <v>43695</v>
      </c>
    </row>
    <row r="193" spans="3:3" ht="20.100000000000001" customHeight="1" x14ac:dyDescent="0.25">
      <c r="C193" s="48">
        <f t="shared" si="2"/>
        <v>43702</v>
      </c>
    </row>
    <row r="194" spans="3:3" ht="20.100000000000001" customHeight="1" x14ac:dyDescent="0.25">
      <c r="C194" s="48">
        <f t="shared" si="2"/>
        <v>43709</v>
      </c>
    </row>
    <row r="195" spans="3:3" ht="20.100000000000001" customHeight="1" x14ac:dyDescent="0.25">
      <c r="C195" s="48">
        <f t="shared" si="2"/>
        <v>43716</v>
      </c>
    </row>
    <row r="196" spans="3:3" ht="20.100000000000001" customHeight="1" x14ac:dyDescent="0.25">
      <c r="C196" s="48">
        <f t="shared" si="2"/>
        <v>43723</v>
      </c>
    </row>
    <row r="197" spans="3:3" ht="20.100000000000001" customHeight="1" x14ac:dyDescent="0.25">
      <c r="C197" s="48">
        <f t="shared" ref="C197:C211" si="3">C196+7</f>
        <v>43730</v>
      </c>
    </row>
    <row r="198" spans="3:3" ht="20.100000000000001" customHeight="1" x14ac:dyDescent="0.25">
      <c r="C198" s="48">
        <f t="shared" si="3"/>
        <v>43737</v>
      </c>
    </row>
    <row r="199" spans="3:3" ht="20.100000000000001" customHeight="1" x14ac:dyDescent="0.25">
      <c r="C199" s="48">
        <f t="shared" si="3"/>
        <v>43744</v>
      </c>
    </row>
    <row r="200" spans="3:3" ht="20.100000000000001" customHeight="1" x14ac:dyDescent="0.25">
      <c r="C200" s="48">
        <f t="shared" si="3"/>
        <v>43751</v>
      </c>
    </row>
    <row r="201" spans="3:3" ht="20.100000000000001" customHeight="1" x14ac:dyDescent="0.25">
      <c r="C201" s="48">
        <f t="shared" si="3"/>
        <v>43758</v>
      </c>
    </row>
    <row r="202" spans="3:3" ht="20.100000000000001" customHeight="1" x14ac:dyDescent="0.25">
      <c r="C202" s="48">
        <f t="shared" si="3"/>
        <v>43765</v>
      </c>
    </row>
    <row r="203" spans="3:3" ht="20.100000000000001" customHeight="1" x14ac:dyDescent="0.25">
      <c r="C203" s="48">
        <f t="shared" si="3"/>
        <v>43772</v>
      </c>
    </row>
    <row r="204" spans="3:3" ht="20.100000000000001" customHeight="1" x14ac:dyDescent="0.25">
      <c r="C204" s="48">
        <f t="shared" si="3"/>
        <v>43779</v>
      </c>
    </row>
    <row r="205" spans="3:3" ht="20.100000000000001" customHeight="1" x14ac:dyDescent="0.25">
      <c r="C205" s="48">
        <f t="shared" si="3"/>
        <v>43786</v>
      </c>
    </row>
    <row r="206" spans="3:3" ht="20.100000000000001" customHeight="1" x14ac:dyDescent="0.25">
      <c r="C206" s="48">
        <f t="shared" si="3"/>
        <v>43793</v>
      </c>
    </row>
    <row r="207" spans="3:3" ht="20.100000000000001" customHeight="1" x14ac:dyDescent="0.25">
      <c r="C207" s="48">
        <f t="shared" si="3"/>
        <v>43800</v>
      </c>
    </row>
    <row r="208" spans="3:3" ht="20.100000000000001" customHeight="1" x14ac:dyDescent="0.25">
      <c r="C208" s="48">
        <f t="shared" si="3"/>
        <v>43807</v>
      </c>
    </row>
    <row r="209" spans="3:3" ht="20.100000000000001" customHeight="1" x14ac:dyDescent="0.25">
      <c r="C209" s="48">
        <f t="shared" si="3"/>
        <v>43814</v>
      </c>
    </row>
    <row r="210" spans="3:3" ht="20.100000000000001" customHeight="1" x14ac:dyDescent="0.25">
      <c r="C210" s="48">
        <f t="shared" si="3"/>
        <v>43821</v>
      </c>
    </row>
    <row r="211" spans="3:3" ht="20.100000000000001" customHeight="1" x14ac:dyDescent="0.25">
      <c r="C211" s="48">
        <f t="shared" si="3"/>
        <v>43828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Work List</vt:lpstr>
      <vt:lpstr>Summary</vt:lpstr>
      <vt:lpstr>Control</vt:lpstr>
      <vt:lpstr>ControlWeeksOf</vt:lpstr>
      <vt:lpstr>'Work List'!Print_Area</vt:lpstr>
      <vt:lpstr>TaskListCostCentres</vt:lpstr>
      <vt:lpstr>TaskListLeads</vt:lpstr>
    </vt:vector>
  </TitlesOfParts>
  <Company>ExxonMobil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Duane Aubin</dc:creator>
  <cp:lastModifiedBy>Duane Aubin</cp:lastModifiedBy>
  <cp:lastPrinted>2016-04-18T14:13:23Z</cp:lastPrinted>
  <dcterms:created xsi:type="dcterms:W3CDTF">2016-04-15T00:15:13Z</dcterms:created>
  <dcterms:modified xsi:type="dcterms:W3CDTF">2016-07-04T15:03:13Z</dcterms:modified>
</cp:coreProperties>
</file>