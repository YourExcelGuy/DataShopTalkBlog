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7860" tabRatio="721" activeTab="5"/>
  </bookViews>
  <sheets>
    <sheet name="Front Page" sheetId="28" r:id="rId1"/>
    <sheet name="Track Installation" sheetId="25" r:id="rId2"/>
    <sheet name="Hours" sheetId="31" r:id="rId3"/>
    <sheet name="Damage" sheetId="33" r:id="rId4"/>
    <sheet name="Thickness" sheetId="34" r:id="rId5"/>
    <sheet name="Control" sheetId="35" r:id="rId6"/>
    <sheet name="About" sheetId="27" r:id="rId7"/>
  </sheets>
  <functionGroups builtInGroupCount="17"/>
  <definedNames>
    <definedName name="_xlnm._FilterDatabase" localSheetId="3" hidden="1">Damage!$B$4:$F$10</definedName>
    <definedName name="_xlnm._FilterDatabase" localSheetId="0" hidden="1">'Front Page'!$C$8:$M$43</definedName>
    <definedName name="_xlnm._FilterDatabase" localSheetId="2" hidden="1">Hours!$B$4:$L$604</definedName>
    <definedName name="_xlnm._FilterDatabase" localSheetId="4" hidden="1">Thickness!$B$4:$J$604</definedName>
    <definedName name="_xlnm._FilterDatabase" localSheetId="1" hidden="1">'Track Installation'!$B$4:$I$53</definedName>
    <definedName name="ControlShovelMakes">OFFSET(Control!$D$5,0,0,COUNTA(Control!$D$5:$D$9),1)</definedName>
    <definedName name="ControlShovels">OFFSET('Track Installation'!$D$5,0,0,COUNTA('Track Installation'!$D$5:$D$53),1)</definedName>
    <definedName name="ControlSites">OFFSET(Control!$B$5,0,0,COUNTA(Control!$B$5:$B$9),1)</definedName>
    <definedName name="_xlnm.Print_Area" localSheetId="2">Hours!$A$1:$W$1</definedName>
    <definedName name="Thickness1NewGreen">'Front Page'!$P$7</definedName>
    <definedName name="Thickness2Yellow">'Front Page'!$Q$7</definedName>
    <definedName name="Thickness3Orange">'Front Page'!$R$7</definedName>
    <definedName name="Thickness4Red">'Front Page'!$S$7</definedName>
    <definedName name="Thickness5EoL">'Front Page'!$T$7</definedName>
    <definedName name="TrackinstallationAllShovels">OFFSET('Track Installation'!$D$5,0,0,COUNTA('Track Installation'!$D$5:$D$53),1)</definedName>
  </definedNames>
  <calcPr calcId="145621"/>
</workbook>
</file>

<file path=xl/calcChain.xml><?xml version="1.0" encoding="utf-8"?>
<calcChain xmlns="http://schemas.openxmlformats.org/spreadsheetml/2006/main">
  <c r="T9" i="35" l="1"/>
  <c r="T8" i="35"/>
  <c r="T7" i="35"/>
  <c r="T6" i="35"/>
  <c r="T5" i="35"/>
  <c r="AD8" i="35"/>
  <c r="AB8" i="35"/>
  <c r="Z8" i="35"/>
  <c r="X8" i="35"/>
  <c r="V8" i="35"/>
  <c r="U8" i="35"/>
  <c r="AD7" i="35"/>
  <c r="AB7" i="35"/>
  <c r="Z7" i="35"/>
  <c r="X7" i="35"/>
  <c r="V7" i="35"/>
  <c r="U7" i="35"/>
  <c r="AD6" i="35"/>
  <c r="AB6" i="35"/>
  <c r="Z6" i="35"/>
  <c r="X6" i="35"/>
  <c r="V6" i="35"/>
  <c r="U6" i="35"/>
  <c r="AB5" i="35"/>
  <c r="AD5" i="35"/>
  <c r="Z5" i="35"/>
  <c r="X5" i="35"/>
  <c r="V5" i="35"/>
  <c r="U5" i="35"/>
  <c r="Q7" i="35" l="1"/>
  <c r="Q6" i="35"/>
  <c r="Q5" i="35"/>
  <c r="L604" i="31" l="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21" i="31"/>
  <c r="L87" i="31"/>
  <c r="L86" i="31"/>
  <c r="L85" i="31"/>
  <c r="L84" i="31"/>
  <c r="L83" i="31"/>
  <c r="L82" i="31"/>
  <c r="L81" i="31"/>
  <c r="L80" i="31"/>
  <c r="L79" i="31"/>
  <c r="L78" i="31"/>
  <c r="L77" i="31"/>
  <c r="L69" i="31"/>
  <c r="L61" i="31"/>
  <c r="L53" i="31"/>
  <c r="L45" i="31"/>
  <c r="L37" i="31"/>
  <c r="L29" i="31"/>
  <c r="L20" i="31"/>
  <c r="L12" i="31"/>
  <c r="L76" i="31"/>
  <c r="L68" i="31"/>
  <c r="L60" i="31"/>
  <c r="L52" i="31"/>
  <c r="L44" i="31"/>
  <c r="L36" i="31"/>
  <c r="L28" i="31"/>
  <c r="L19" i="31"/>
  <c r="L11" i="31"/>
  <c r="L75" i="31"/>
  <c r="L67" i="31"/>
  <c r="L59" i="31"/>
  <c r="L51" i="31"/>
  <c r="L43" i="31"/>
  <c r="L35" i="31"/>
  <c r="L27" i="31"/>
  <c r="L18" i="31"/>
  <c r="L10" i="31"/>
  <c r="L74" i="31"/>
  <c r="L66" i="31"/>
  <c r="L58" i="31"/>
  <c r="L50" i="31"/>
  <c r="L42" i="31"/>
  <c r="L34" i="31"/>
  <c r="L26" i="31"/>
  <c r="L17" i="31"/>
  <c r="L9" i="31"/>
  <c r="L73" i="31"/>
  <c r="L65" i="31"/>
  <c r="L57" i="31"/>
  <c r="L49" i="31"/>
  <c r="L41" i="31"/>
  <c r="L33" i="31"/>
  <c r="L25" i="31"/>
  <c r="L16" i="31"/>
  <c r="L8" i="31"/>
  <c r="L72" i="31"/>
  <c r="L64" i="31"/>
  <c r="L56" i="31"/>
  <c r="L48" i="31"/>
  <c r="L40" i="31"/>
  <c r="L32" i="31"/>
  <c r="L24" i="31"/>
  <c r="L15" i="31"/>
  <c r="L7" i="31"/>
  <c r="L71" i="31"/>
  <c r="L63" i="31"/>
  <c r="L55" i="31"/>
  <c r="L47" i="31"/>
  <c r="L39" i="31"/>
  <c r="L31" i="31"/>
  <c r="L23" i="31"/>
  <c r="L14" i="31"/>
  <c r="L6" i="31"/>
  <c r="L70" i="31"/>
  <c r="L62" i="31"/>
  <c r="L54" i="31"/>
  <c r="L46" i="31"/>
  <c r="L38" i="31"/>
  <c r="L30" i="31"/>
  <c r="L22" i="31"/>
  <c r="L13" i="31"/>
  <c r="L5" i="31"/>
  <c r="H604" i="31" l="1"/>
  <c r="H603" i="31"/>
  <c r="H602" i="31"/>
  <c r="H601" i="31"/>
  <c r="H600" i="31"/>
  <c r="H599" i="31"/>
  <c r="H598" i="31"/>
  <c r="H597" i="31"/>
  <c r="H596" i="31"/>
  <c r="H595" i="31"/>
  <c r="H594" i="31"/>
  <c r="H593" i="31"/>
  <c r="H592" i="31"/>
  <c r="H591" i="31"/>
  <c r="H590" i="31"/>
  <c r="H589" i="31"/>
  <c r="H588" i="31"/>
  <c r="H587" i="31"/>
  <c r="H586" i="31"/>
  <c r="H585" i="31"/>
  <c r="H584" i="31"/>
  <c r="H583" i="31"/>
  <c r="H582" i="31"/>
  <c r="H581" i="31"/>
  <c r="H580" i="31"/>
  <c r="H579" i="31"/>
  <c r="H578" i="31"/>
  <c r="H577" i="31"/>
  <c r="H576" i="31"/>
  <c r="H575" i="31"/>
  <c r="H574" i="31"/>
  <c r="H573" i="31"/>
  <c r="H572" i="31"/>
  <c r="H571" i="31"/>
  <c r="H570" i="31"/>
  <c r="H569" i="31"/>
  <c r="H568" i="31"/>
  <c r="H567" i="31"/>
  <c r="H566" i="31"/>
  <c r="H565" i="31"/>
  <c r="H564" i="31"/>
  <c r="H563" i="31"/>
  <c r="H562" i="31"/>
  <c r="H561" i="31"/>
  <c r="H560" i="31"/>
  <c r="H559" i="31"/>
  <c r="H558" i="31"/>
  <c r="H557" i="31"/>
  <c r="H556" i="31"/>
  <c r="H555" i="31"/>
  <c r="H554" i="31"/>
  <c r="H553" i="31"/>
  <c r="H552" i="31"/>
  <c r="H551" i="31"/>
  <c r="H550" i="31"/>
  <c r="H549" i="31"/>
  <c r="H548" i="31"/>
  <c r="H547" i="31"/>
  <c r="H546" i="31"/>
  <c r="H545" i="31"/>
  <c r="H544" i="31"/>
  <c r="H543" i="31"/>
  <c r="H542" i="31"/>
  <c r="H541" i="31"/>
  <c r="H540" i="31"/>
  <c r="H539" i="31"/>
  <c r="H538" i="31"/>
  <c r="H537" i="31"/>
  <c r="H536" i="31"/>
  <c r="H535" i="31"/>
  <c r="H534" i="31"/>
  <c r="H533" i="31"/>
  <c r="H532" i="31"/>
  <c r="H531" i="31"/>
  <c r="H530" i="31"/>
  <c r="H529" i="31"/>
  <c r="H528" i="31"/>
  <c r="H527" i="31"/>
  <c r="H526" i="31"/>
  <c r="H525" i="31"/>
  <c r="H524" i="31"/>
  <c r="H523" i="31"/>
  <c r="H522" i="31"/>
  <c r="H521" i="31"/>
  <c r="H520" i="31"/>
  <c r="H519" i="31"/>
  <c r="H518" i="31"/>
  <c r="H517" i="31"/>
  <c r="H516" i="31"/>
  <c r="H515" i="31"/>
  <c r="H514" i="31"/>
  <c r="H513" i="31"/>
  <c r="H512" i="31"/>
  <c r="H511" i="31"/>
  <c r="H510" i="31"/>
  <c r="H509" i="31"/>
  <c r="H508" i="31"/>
  <c r="H507" i="31"/>
  <c r="H506" i="31"/>
  <c r="H505" i="31"/>
  <c r="H504" i="31"/>
  <c r="H503" i="31"/>
  <c r="H502" i="31"/>
  <c r="H501" i="31"/>
  <c r="H500" i="31"/>
  <c r="H499" i="31"/>
  <c r="H498" i="31"/>
  <c r="H497" i="31"/>
  <c r="H496" i="31"/>
  <c r="H495" i="31"/>
  <c r="H494" i="31"/>
  <c r="H493" i="31"/>
  <c r="H492" i="31"/>
  <c r="H491" i="31"/>
  <c r="H490" i="31"/>
  <c r="H489" i="31"/>
  <c r="H488" i="31"/>
  <c r="H487" i="31"/>
  <c r="H486" i="31"/>
  <c r="H485" i="31"/>
  <c r="H484" i="31"/>
  <c r="H483" i="31"/>
  <c r="H482" i="31"/>
  <c r="H481" i="31"/>
  <c r="H480" i="31"/>
  <c r="H479" i="31"/>
  <c r="H478" i="31"/>
  <c r="H477" i="31"/>
  <c r="H476" i="31"/>
  <c r="H475" i="31"/>
  <c r="H474" i="31"/>
  <c r="H473" i="31"/>
  <c r="H472" i="31"/>
  <c r="H471" i="31"/>
  <c r="H470" i="31"/>
  <c r="H469" i="31"/>
  <c r="H468" i="31"/>
  <c r="H467" i="31"/>
  <c r="H466" i="31"/>
  <c r="H465" i="31"/>
  <c r="H464" i="31"/>
  <c r="H463" i="31"/>
  <c r="H462" i="31"/>
  <c r="H461" i="31"/>
  <c r="H460" i="31"/>
  <c r="H459" i="31"/>
  <c r="H458" i="31"/>
  <c r="H457" i="31"/>
  <c r="H456" i="31"/>
  <c r="H455" i="31"/>
  <c r="H454" i="31"/>
  <c r="H453" i="31"/>
  <c r="H452" i="31"/>
  <c r="H451" i="31"/>
  <c r="H450" i="31"/>
  <c r="H449" i="31"/>
  <c r="H448" i="31"/>
  <c r="H447" i="31"/>
  <c r="H446" i="31"/>
  <c r="H445" i="31"/>
  <c r="H444" i="31"/>
  <c r="H443" i="31"/>
  <c r="H442" i="31"/>
  <c r="H441" i="31"/>
  <c r="H440" i="31"/>
  <c r="H439" i="31"/>
  <c r="H438" i="31"/>
  <c r="H437" i="31"/>
  <c r="H436" i="31"/>
  <c r="H435" i="31"/>
  <c r="H434" i="31"/>
  <c r="H433" i="31"/>
  <c r="H432" i="31"/>
  <c r="H431" i="31"/>
  <c r="H430" i="31"/>
  <c r="H429" i="31"/>
  <c r="H428" i="31"/>
  <c r="H427" i="31"/>
  <c r="H426" i="31"/>
  <c r="H425" i="31"/>
  <c r="H424" i="31"/>
  <c r="H423" i="31"/>
  <c r="H422" i="31"/>
  <c r="H421" i="31"/>
  <c r="H420" i="31"/>
  <c r="H419" i="31"/>
  <c r="H418" i="31"/>
  <c r="H417" i="31"/>
  <c r="H416" i="31"/>
  <c r="H415" i="31"/>
  <c r="H414" i="31"/>
  <c r="H413" i="31"/>
  <c r="H412" i="31"/>
  <c r="H411" i="31"/>
  <c r="H410" i="31"/>
  <c r="H409" i="31"/>
  <c r="H408" i="31"/>
  <c r="H407" i="31"/>
  <c r="H406" i="31"/>
  <c r="H405" i="31"/>
  <c r="H404" i="31"/>
  <c r="H403" i="31"/>
  <c r="H402" i="31"/>
  <c r="H401" i="31"/>
  <c r="H400" i="31"/>
  <c r="H399" i="31"/>
  <c r="H398" i="31"/>
  <c r="H397" i="31"/>
  <c r="H396" i="31"/>
  <c r="H395" i="31"/>
  <c r="H394" i="31"/>
  <c r="H393" i="31"/>
  <c r="H392" i="31"/>
  <c r="H391" i="31"/>
  <c r="H390" i="31"/>
  <c r="H389" i="31"/>
  <c r="H388" i="31"/>
  <c r="H387" i="31"/>
  <c r="H386" i="31"/>
  <c r="H385" i="31"/>
  <c r="H384" i="31"/>
  <c r="H383" i="31"/>
  <c r="H382" i="31"/>
  <c r="H381" i="31"/>
  <c r="H380" i="31"/>
  <c r="H379" i="31"/>
  <c r="H378" i="31"/>
  <c r="H377" i="31"/>
  <c r="H376" i="31"/>
  <c r="H375" i="31"/>
  <c r="H374" i="31"/>
  <c r="H373" i="31"/>
  <c r="H372" i="31"/>
  <c r="H371" i="31"/>
  <c r="H370" i="31"/>
  <c r="H369" i="31"/>
  <c r="H368" i="31"/>
  <c r="H367" i="31"/>
  <c r="H366" i="31"/>
  <c r="H365" i="31"/>
  <c r="H364" i="31"/>
  <c r="H363" i="31"/>
  <c r="H362" i="31"/>
  <c r="H361" i="31"/>
  <c r="H360" i="31"/>
  <c r="H359" i="31"/>
  <c r="H358" i="31"/>
  <c r="H357" i="31"/>
  <c r="H356" i="31"/>
  <c r="H355" i="31"/>
  <c r="H354" i="31"/>
  <c r="H353" i="31"/>
  <c r="H352" i="31"/>
  <c r="H351" i="31"/>
  <c r="H350" i="31"/>
  <c r="H349" i="31"/>
  <c r="H348" i="31"/>
  <c r="H347" i="31"/>
  <c r="H346" i="31"/>
  <c r="H345" i="31"/>
  <c r="H344" i="31"/>
  <c r="H343" i="31"/>
  <c r="H342" i="31"/>
  <c r="H341" i="31"/>
  <c r="H340" i="31"/>
  <c r="H339" i="31"/>
  <c r="H338" i="31"/>
  <c r="H337" i="31"/>
  <c r="H336" i="31"/>
  <c r="H335" i="31"/>
  <c r="H334" i="31"/>
  <c r="H333" i="31"/>
  <c r="H332" i="31"/>
  <c r="H331" i="31"/>
  <c r="H330" i="31"/>
  <c r="H329" i="31"/>
  <c r="H328" i="31"/>
  <c r="H327" i="31"/>
  <c r="H326" i="31"/>
  <c r="H325" i="31"/>
  <c r="H324" i="31"/>
  <c r="H323" i="31"/>
  <c r="H322" i="31"/>
  <c r="H321" i="31"/>
  <c r="H320" i="31"/>
  <c r="H319" i="31"/>
  <c r="H318" i="31"/>
  <c r="H317" i="31"/>
  <c r="H316" i="31"/>
  <c r="H315" i="31"/>
  <c r="H314" i="31"/>
  <c r="H313" i="31"/>
  <c r="H312" i="31"/>
  <c r="H311" i="31"/>
  <c r="H310" i="31"/>
  <c r="H309" i="31"/>
  <c r="H308" i="31"/>
  <c r="H307" i="31"/>
  <c r="H306" i="31"/>
  <c r="H305" i="31"/>
  <c r="H304" i="31"/>
  <c r="H303" i="31"/>
  <c r="H302" i="31"/>
  <c r="H301" i="31"/>
  <c r="H300" i="31"/>
  <c r="H299" i="31"/>
  <c r="H298" i="31"/>
  <c r="H297" i="31"/>
  <c r="H296" i="31"/>
  <c r="H295" i="31"/>
  <c r="H294" i="31"/>
  <c r="H293" i="31"/>
  <c r="H292" i="31"/>
  <c r="H291" i="31"/>
  <c r="H290" i="31"/>
  <c r="H289" i="31"/>
  <c r="H288" i="31"/>
  <c r="H287" i="31"/>
  <c r="H286" i="31"/>
  <c r="H285" i="31"/>
  <c r="H284" i="31"/>
  <c r="H283" i="31"/>
  <c r="H282" i="31"/>
  <c r="H281" i="31"/>
  <c r="H280" i="31"/>
  <c r="H279" i="31"/>
  <c r="H278" i="31"/>
  <c r="H277" i="31"/>
  <c r="H276" i="31"/>
  <c r="H275" i="31"/>
  <c r="H274" i="31"/>
  <c r="H273" i="31"/>
  <c r="H272" i="31"/>
  <c r="H271" i="31"/>
  <c r="H270" i="31"/>
  <c r="H269" i="31"/>
  <c r="H268" i="31"/>
  <c r="H267" i="31"/>
  <c r="H266" i="31"/>
  <c r="H265" i="31"/>
  <c r="H264" i="31"/>
  <c r="H263" i="31"/>
  <c r="H262" i="31"/>
  <c r="H261" i="31"/>
  <c r="H260" i="31"/>
  <c r="H259" i="31"/>
  <c r="H258" i="31"/>
  <c r="H257" i="31"/>
  <c r="H256" i="31"/>
  <c r="H255" i="31"/>
  <c r="H254" i="31"/>
  <c r="H253" i="31"/>
  <c r="H252" i="31"/>
  <c r="H251" i="31"/>
  <c r="H250" i="31"/>
  <c r="H249" i="31"/>
  <c r="H248" i="31"/>
  <c r="H247" i="31"/>
  <c r="H246" i="31"/>
  <c r="H245" i="31"/>
  <c r="H244" i="31"/>
  <c r="H243" i="31"/>
  <c r="H242" i="31"/>
  <c r="H241" i="31"/>
  <c r="H240" i="31"/>
  <c r="H239" i="31"/>
  <c r="H238" i="31"/>
  <c r="H237" i="31"/>
  <c r="H236" i="31"/>
  <c r="H235" i="31"/>
  <c r="H234" i="31"/>
  <c r="H233" i="31"/>
  <c r="H232" i="31"/>
  <c r="H231" i="31"/>
  <c r="H230" i="31"/>
  <c r="H229" i="31"/>
  <c r="H228" i="31"/>
  <c r="H227" i="31"/>
  <c r="H226" i="31"/>
  <c r="H225" i="31"/>
  <c r="H224" i="31"/>
  <c r="H223" i="31"/>
  <c r="H222" i="31"/>
  <c r="H221" i="31"/>
  <c r="H220" i="31"/>
  <c r="H219" i="31"/>
  <c r="H218" i="31"/>
  <c r="H217" i="31"/>
  <c r="H216" i="31"/>
  <c r="H215" i="31"/>
  <c r="H214" i="31"/>
  <c r="H213" i="31"/>
  <c r="H212" i="31"/>
  <c r="H211" i="31"/>
  <c r="H210" i="31"/>
  <c r="H209" i="31"/>
  <c r="H208" i="31"/>
  <c r="H207" i="31"/>
  <c r="H206" i="31"/>
  <c r="H205" i="31"/>
  <c r="H204" i="31"/>
  <c r="H203" i="31"/>
  <c r="H202" i="31"/>
  <c r="H201" i="31"/>
  <c r="H200" i="31"/>
  <c r="H199" i="31"/>
  <c r="H198" i="31"/>
  <c r="H197" i="31"/>
  <c r="H196" i="31"/>
  <c r="H195" i="31"/>
  <c r="H194" i="31"/>
  <c r="H193" i="31"/>
  <c r="H192" i="31"/>
  <c r="H191" i="31"/>
  <c r="H190" i="31"/>
  <c r="H189" i="31"/>
  <c r="H188" i="31"/>
  <c r="H187" i="31"/>
  <c r="H186" i="31"/>
  <c r="H185" i="31"/>
  <c r="H184" i="31"/>
  <c r="H183" i="31"/>
  <c r="H182" i="31"/>
  <c r="H181" i="31"/>
  <c r="H180" i="31"/>
  <c r="H179" i="31"/>
  <c r="H178" i="31"/>
  <c r="H177" i="31"/>
  <c r="H176" i="31"/>
  <c r="H175" i="31"/>
  <c r="H174" i="31"/>
  <c r="H173" i="31"/>
  <c r="H172" i="31"/>
  <c r="H171" i="31"/>
  <c r="H170" i="31"/>
  <c r="H169" i="31"/>
  <c r="H168" i="31"/>
  <c r="H167" i="31"/>
  <c r="H166" i="31"/>
  <c r="H165" i="31"/>
  <c r="H164" i="31"/>
  <c r="H163" i="31"/>
  <c r="H162" i="31"/>
  <c r="H161" i="31"/>
  <c r="H160" i="31"/>
  <c r="H159" i="31"/>
  <c r="H158" i="31"/>
  <c r="H157" i="31"/>
  <c r="H156" i="31"/>
  <c r="H155" i="31"/>
  <c r="H154" i="31"/>
  <c r="H153" i="31"/>
  <c r="H152" i="31"/>
  <c r="H151" i="31"/>
  <c r="H150" i="31"/>
  <c r="H149" i="31"/>
  <c r="H148" i="31"/>
  <c r="H147" i="31"/>
  <c r="H146" i="31"/>
  <c r="H145" i="31"/>
  <c r="H144" i="31"/>
  <c r="H143" i="31"/>
  <c r="H142" i="31"/>
  <c r="H141" i="31"/>
  <c r="H140" i="31"/>
  <c r="H139" i="31"/>
  <c r="H138" i="31"/>
  <c r="H137" i="31"/>
  <c r="H136" i="31"/>
  <c r="H135" i="31"/>
  <c r="H134" i="31"/>
  <c r="H133" i="31"/>
  <c r="H132" i="31"/>
  <c r="H131" i="31"/>
  <c r="H130" i="31"/>
  <c r="H129" i="31"/>
  <c r="H128" i="31"/>
  <c r="H127" i="31"/>
  <c r="H126" i="31"/>
  <c r="H125" i="31"/>
  <c r="H124" i="31"/>
  <c r="H123" i="31"/>
  <c r="H122" i="31"/>
  <c r="H121" i="31"/>
  <c r="H120" i="31"/>
  <c r="H119" i="31"/>
  <c r="H118" i="31"/>
  <c r="H117" i="31"/>
  <c r="H116" i="31"/>
  <c r="H115" i="31"/>
  <c r="H114" i="31"/>
  <c r="H113" i="31"/>
  <c r="H112" i="31"/>
  <c r="H111" i="31"/>
  <c r="H110" i="31"/>
  <c r="H109" i="31"/>
  <c r="H108" i="31"/>
  <c r="H107" i="31"/>
  <c r="H106" i="31"/>
  <c r="H105" i="31"/>
  <c r="H104" i="31"/>
  <c r="H103" i="31"/>
  <c r="H102" i="31"/>
  <c r="H101" i="31"/>
  <c r="H100" i="31"/>
  <c r="H99" i="31"/>
  <c r="H98" i="31"/>
  <c r="H97" i="31"/>
  <c r="H96" i="31"/>
  <c r="H95" i="31"/>
  <c r="H94" i="31"/>
  <c r="H93" i="31"/>
  <c r="H92" i="31"/>
  <c r="H91" i="31"/>
  <c r="H90" i="31"/>
  <c r="H89" i="31"/>
  <c r="H88" i="31"/>
  <c r="I604" i="31"/>
  <c r="I603" i="31"/>
  <c r="I602" i="31"/>
  <c r="I601" i="31"/>
  <c r="I600" i="31"/>
  <c r="I599" i="31"/>
  <c r="I598" i="31"/>
  <c r="I597" i="31"/>
  <c r="I596" i="31"/>
  <c r="I595" i="31"/>
  <c r="I594" i="31"/>
  <c r="I593" i="31"/>
  <c r="I592" i="31"/>
  <c r="I591" i="31"/>
  <c r="I590" i="31"/>
  <c r="I589" i="31"/>
  <c r="I588" i="31"/>
  <c r="I587" i="31"/>
  <c r="I586" i="31"/>
  <c r="I585" i="31"/>
  <c r="I584" i="31"/>
  <c r="I583" i="31"/>
  <c r="I582" i="31"/>
  <c r="I581" i="31"/>
  <c r="I580" i="31"/>
  <c r="I579" i="31"/>
  <c r="I578" i="31"/>
  <c r="I577" i="31"/>
  <c r="I576" i="31"/>
  <c r="I575" i="31"/>
  <c r="I574" i="31"/>
  <c r="I573" i="31"/>
  <c r="I572" i="31"/>
  <c r="I571" i="31"/>
  <c r="I570" i="31"/>
  <c r="I569" i="31"/>
  <c r="I568" i="31"/>
  <c r="I567" i="31"/>
  <c r="I566" i="31"/>
  <c r="I565" i="31"/>
  <c r="I564" i="31"/>
  <c r="I563" i="31"/>
  <c r="I562" i="31"/>
  <c r="I561" i="31"/>
  <c r="I560" i="31"/>
  <c r="I559" i="31"/>
  <c r="I558" i="31"/>
  <c r="I557" i="31"/>
  <c r="I556" i="31"/>
  <c r="I555" i="31"/>
  <c r="I554" i="31"/>
  <c r="I553" i="31"/>
  <c r="I552" i="31"/>
  <c r="I551" i="31"/>
  <c r="I550" i="31"/>
  <c r="I549" i="31"/>
  <c r="I548" i="31"/>
  <c r="I547" i="31"/>
  <c r="I546" i="31"/>
  <c r="I545" i="31"/>
  <c r="I544" i="31"/>
  <c r="I543" i="31"/>
  <c r="I542" i="31"/>
  <c r="I541" i="31"/>
  <c r="I540" i="31"/>
  <c r="I539" i="31"/>
  <c r="I538" i="31"/>
  <c r="I537" i="31"/>
  <c r="I536" i="31"/>
  <c r="I535" i="31"/>
  <c r="I534" i="31"/>
  <c r="I533" i="31"/>
  <c r="I532" i="31"/>
  <c r="I531" i="31"/>
  <c r="I530" i="31"/>
  <c r="I529" i="31"/>
  <c r="I528" i="31"/>
  <c r="I527" i="31"/>
  <c r="I526" i="31"/>
  <c r="I525" i="31"/>
  <c r="I524" i="31"/>
  <c r="I523" i="31"/>
  <c r="I522" i="31"/>
  <c r="I521" i="31"/>
  <c r="I520" i="31"/>
  <c r="I519" i="31"/>
  <c r="I518" i="31"/>
  <c r="I517" i="31"/>
  <c r="I516" i="31"/>
  <c r="I515" i="31"/>
  <c r="I514" i="31"/>
  <c r="I513" i="31"/>
  <c r="I512" i="31"/>
  <c r="I511" i="31"/>
  <c r="I510" i="31"/>
  <c r="I509" i="31"/>
  <c r="I508" i="31"/>
  <c r="I507" i="31"/>
  <c r="I506" i="31"/>
  <c r="I505" i="31"/>
  <c r="I504" i="31"/>
  <c r="I503" i="31"/>
  <c r="I502" i="31"/>
  <c r="I501" i="31"/>
  <c r="I500" i="31"/>
  <c r="I499" i="31"/>
  <c r="I498" i="31"/>
  <c r="I497" i="31"/>
  <c r="I496" i="31"/>
  <c r="I495" i="31"/>
  <c r="I494" i="31"/>
  <c r="I493" i="31"/>
  <c r="I492" i="31"/>
  <c r="I491" i="31"/>
  <c r="I490" i="31"/>
  <c r="I489" i="31"/>
  <c r="I488" i="31"/>
  <c r="I487" i="31"/>
  <c r="I486" i="31"/>
  <c r="I485" i="31"/>
  <c r="I484" i="31"/>
  <c r="I483" i="31"/>
  <c r="I482" i="31"/>
  <c r="I481" i="31"/>
  <c r="I480" i="31"/>
  <c r="I479" i="31"/>
  <c r="I478" i="31"/>
  <c r="I477" i="31"/>
  <c r="I476" i="31"/>
  <c r="I475" i="31"/>
  <c r="I474" i="31"/>
  <c r="I473" i="31"/>
  <c r="I472" i="31"/>
  <c r="I471" i="31"/>
  <c r="I470" i="31"/>
  <c r="I469" i="31"/>
  <c r="I468" i="31"/>
  <c r="I467" i="31"/>
  <c r="I466" i="31"/>
  <c r="I465" i="31"/>
  <c r="I464" i="31"/>
  <c r="I463" i="31"/>
  <c r="I462" i="31"/>
  <c r="I461" i="31"/>
  <c r="I460" i="31"/>
  <c r="I459" i="31"/>
  <c r="I458" i="31"/>
  <c r="I457" i="31"/>
  <c r="I456" i="31"/>
  <c r="I455" i="31"/>
  <c r="I454" i="31"/>
  <c r="I453" i="31"/>
  <c r="I452" i="31"/>
  <c r="I451" i="31"/>
  <c r="I450" i="31"/>
  <c r="I449" i="31"/>
  <c r="I448" i="31"/>
  <c r="I447" i="31"/>
  <c r="I446" i="31"/>
  <c r="I445" i="31"/>
  <c r="I444" i="31"/>
  <c r="I443" i="31"/>
  <c r="I442" i="31"/>
  <c r="I441" i="31"/>
  <c r="I440" i="31"/>
  <c r="I439" i="31"/>
  <c r="I438" i="31"/>
  <c r="I437" i="31"/>
  <c r="I436" i="31"/>
  <c r="I435" i="31"/>
  <c r="I434" i="31"/>
  <c r="I433" i="31"/>
  <c r="I432" i="31"/>
  <c r="I431" i="31"/>
  <c r="I430" i="31"/>
  <c r="I429" i="31"/>
  <c r="I428" i="31"/>
  <c r="I427" i="31"/>
  <c r="I426" i="31"/>
  <c r="I425" i="31"/>
  <c r="I424" i="31"/>
  <c r="I423" i="31"/>
  <c r="I422" i="31"/>
  <c r="I421" i="31"/>
  <c r="I420" i="31"/>
  <c r="I419" i="31"/>
  <c r="I418" i="31"/>
  <c r="I417" i="31"/>
  <c r="I416" i="31"/>
  <c r="I415" i="31"/>
  <c r="I414" i="31"/>
  <c r="I413" i="31"/>
  <c r="I412" i="31"/>
  <c r="I411" i="31"/>
  <c r="I410" i="31"/>
  <c r="I409" i="31"/>
  <c r="I408" i="31"/>
  <c r="I407" i="31"/>
  <c r="I406" i="31"/>
  <c r="I405" i="31"/>
  <c r="I404" i="31"/>
  <c r="I403" i="31"/>
  <c r="I402" i="31"/>
  <c r="I401" i="31"/>
  <c r="I400" i="31"/>
  <c r="I399" i="31"/>
  <c r="I398" i="31"/>
  <c r="I397" i="31"/>
  <c r="I396" i="31"/>
  <c r="I395" i="31"/>
  <c r="I394" i="31"/>
  <c r="I393" i="31"/>
  <c r="I392" i="31"/>
  <c r="I391" i="31"/>
  <c r="I390" i="31"/>
  <c r="I389" i="31"/>
  <c r="I388" i="31"/>
  <c r="I387" i="31"/>
  <c r="I386" i="31"/>
  <c r="I385" i="31"/>
  <c r="I384" i="31"/>
  <c r="I383" i="31"/>
  <c r="I382" i="31"/>
  <c r="I381" i="31"/>
  <c r="I380" i="31"/>
  <c r="I379" i="31"/>
  <c r="I378" i="31"/>
  <c r="I377" i="31"/>
  <c r="I376" i="31"/>
  <c r="I375" i="31"/>
  <c r="I374" i="31"/>
  <c r="I373" i="31"/>
  <c r="I372" i="31"/>
  <c r="I371" i="31"/>
  <c r="I370" i="31"/>
  <c r="I369" i="31"/>
  <c r="I368" i="31"/>
  <c r="I367" i="31"/>
  <c r="I366" i="31"/>
  <c r="I365" i="31"/>
  <c r="I364" i="31"/>
  <c r="I363" i="31"/>
  <c r="I362" i="31"/>
  <c r="I361" i="31"/>
  <c r="I360" i="31"/>
  <c r="I359" i="31"/>
  <c r="I358" i="31"/>
  <c r="I357" i="31"/>
  <c r="I356" i="31"/>
  <c r="I355" i="31"/>
  <c r="I354" i="31"/>
  <c r="I353" i="31"/>
  <c r="I352" i="31"/>
  <c r="I351" i="31"/>
  <c r="I350" i="31"/>
  <c r="I349" i="31"/>
  <c r="I348" i="31"/>
  <c r="I347" i="31"/>
  <c r="I346" i="31"/>
  <c r="I345" i="31"/>
  <c r="I344" i="31"/>
  <c r="I343" i="31"/>
  <c r="I342" i="31"/>
  <c r="I341" i="31"/>
  <c r="I340" i="31"/>
  <c r="I339" i="31"/>
  <c r="I338" i="31"/>
  <c r="I337" i="31"/>
  <c r="I336" i="31"/>
  <c r="I335" i="31"/>
  <c r="I334" i="31"/>
  <c r="I333" i="31"/>
  <c r="I332" i="31"/>
  <c r="I331" i="31"/>
  <c r="I330" i="31"/>
  <c r="I329" i="31"/>
  <c r="I328" i="31"/>
  <c r="I327" i="31"/>
  <c r="I326" i="31"/>
  <c r="I325" i="31"/>
  <c r="I324" i="31"/>
  <c r="I323" i="31"/>
  <c r="I322" i="31"/>
  <c r="I321" i="31"/>
  <c r="I320" i="31"/>
  <c r="I319" i="31"/>
  <c r="I318" i="31"/>
  <c r="I317" i="31"/>
  <c r="I316" i="31"/>
  <c r="I315" i="31"/>
  <c r="I314" i="31"/>
  <c r="I313" i="31"/>
  <c r="I312" i="31"/>
  <c r="I311" i="31"/>
  <c r="I310" i="31"/>
  <c r="I309" i="31"/>
  <c r="I305" i="31"/>
  <c r="I304" i="31"/>
  <c r="I303" i="31"/>
  <c r="I302" i="31"/>
  <c r="I301" i="31"/>
  <c r="I300" i="31"/>
  <c r="I299" i="31"/>
  <c r="I298" i="31"/>
  <c r="I297" i="31"/>
  <c r="I296" i="31"/>
  <c r="I295" i="31"/>
  <c r="I294" i="31"/>
  <c r="I293" i="31"/>
  <c r="I292" i="31"/>
  <c r="I291" i="31"/>
  <c r="I290" i="31"/>
  <c r="I289" i="31"/>
  <c r="I288" i="31"/>
  <c r="I287" i="31"/>
  <c r="I286" i="31"/>
  <c r="I285" i="31"/>
  <c r="I284" i="31"/>
  <c r="I283" i="31"/>
  <c r="I282" i="31"/>
  <c r="I281" i="31"/>
  <c r="I280" i="31"/>
  <c r="I279" i="31"/>
  <c r="I278" i="31"/>
  <c r="I277" i="31"/>
  <c r="I276" i="31"/>
  <c r="I275" i="31"/>
  <c r="I274" i="31"/>
  <c r="I273" i="31"/>
  <c r="I272" i="31"/>
  <c r="I271" i="31"/>
  <c r="I270" i="31"/>
  <c r="I269" i="31"/>
  <c r="I268" i="31"/>
  <c r="I267" i="31"/>
  <c r="I266" i="31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250" i="31"/>
  <c r="I249" i="31"/>
  <c r="I248" i="31"/>
  <c r="I247" i="31"/>
  <c r="I246" i="31"/>
  <c r="I245" i="31"/>
  <c r="I244" i="31"/>
  <c r="I243" i="31"/>
  <c r="I242" i="31"/>
  <c r="I241" i="31"/>
  <c r="I240" i="31"/>
  <c r="I239" i="31"/>
  <c r="I238" i="31"/>
  <c r="I237" i="31"/>
  <c r="I236" i="31"/>
  <c r="I235" i="31"/>
  <c r="I234" i="31"/>
  <c r="I233" i="31"/>
  <c r="I232" i="31"/>
  <c r="I231" i="31"/>
  <c r="I230" i="31"/>
  <c r="I229" i="31"/>
  <c r="I228" i="31"/>
  <c r="I227" i="31"/>
  <c r="I226" i="31"/>
  <c r="I225" i="31"/>
  <c r="I224" i="31"/>
  <c r="I223" i="31"/>
  <c r="I222" i="31"/>
  <c r="I221" i="31"/>
  <c r="I220" i="31"/>
  <c r="I219" i="31"/>
  <c r="I218" i="31"/>
  <c r="I217" i="31"/>
  <c r="I216" i="31"/>
  <c r="I215" i="31"/>
  <c r="I214" i="31"/>
  <c r="I213" i="31"/>
  <c r="I212" i="31"/>
  <c r="I211" i="31"/>
  <c r="I210" i="31"/>
  <c r="I209" i="31"/>
  <c r="I208" i="31"/>
  <c r="I207" i="31"/>
  <c r="I206" i="31"/>
  <c r="I205" i="31"/>
  <c r="I204" i="31"/>
  <c r="I203" i="31"/>
  <c r="I202" i="31"/>
  <c r="I201" i="31"/>
  <c r="I200" i="31"/>
  <c r="I199" i="31"/>
  <c r="I198" i="31"/>
  <c r="I197" i="31"/>
  <c r="I196" i="31"/>
  <c r="I195" i="31"/>
  <c r="I194" i="31"/>
  <c r="I193" i="31"/>
  <c r="I192" i="31"/>
  <c r="I191" i="31"/>
  <c r="I190" i="31"/>
  <c r="I189" i="31"/>
  <c r="I188" i="31"/>
  <c r="I187" i="31"/>
  <c r="I186" i="31"/>
  <c r="I185" i="31"/>
  <c r="I184" i="31"/>
  <c r="I183" i="31"/>
  <c r="I182" i="31"/>
  <c r="I181" i="31"/>
  <c r="I180" i="31"/>
  <c r="I179" i="31"/>
  <c r="I178" i="31"/>
  <c r="I177" i="31"/>
  <c r="I176" i="31"/>
  <c r="I175" i="31"/>
  <c r="I174" i="31"/>
  <c r="I173" i="31"/>
  <c r="I172" i="31"/>
  <c r="I171" i="31"/>
  <c r="I170" i="31"/>
  <c r="I169" i="31"/>
  <c r="I168" i="31"/>
  <c r="I167" i="31"/>
  <c r="I166" i="31"/>
  <c r="I165" i="31"/>
  <c r="I164" i="31"/>
  <c r="I163" i="31"/>
  <c r="I162" i="31"/>
  <c r="I161" i="31"/>
  <c r="I160" i="31"/>
  <c r="I159" i="31"/>
  <c r="I158" i="31"/>
  <c r="I157" i="31"/>
  <c r="I156" i="31"/>
  <c r="I155" i="31"/>
  <c r="I154" i="31"/>
  <c r="I153" i="31"/>
  <c r="I152" i="31"/>
  <c r="I151" i="31"/>
  <c r="I150" i="31"/>
  <c r="I149" i="31"/>
  <c r="I148" i="31"/>
  <c r="I147" i="31"/>
  <c r="I146" i="31"/>
  <c r="I145" i="31"/>
  <c r="I144" i="31"/>
  <c r="I143" i="31"/>
  <c r="I142" i="31"/>
  <c r="I141" i="31"/>
  <c r="I140" i="31"/>
  <c r="I139" i="31"/>
  <c r="I138" i="31"/>
  <c r="I137" i="31"/>
  <c r="I136" i="31"/>
  <c r="I135" i="31"/>
  <c r="I134" i="31"/>
  <c r="I133" i="31"/>
  <c r="I132" i="31"/>
  <c r="I131" i="31"/>
  <c r="I130" i="31"/>
  <c r="I129" i="31"/>
  <c r="I128" i="31"/>
  <c r="I127" i="31"/>
  <c r="I126" i="31"/>
  <c r="I125" i="31"/>
  <c r="I124" i="31"/>
  <c r="I123" i="31"/>
  <c r="I122" i="31"/>
  <c r="I121" i="31"/>
  <c r="I120" i="31"/>
  <c r="I119" i="31"/>
  <c r="I118" i="31"/>
  <c r="I117" i="31"/>
  <c r="I116" i="31"/>
  <c r="I115" i="31"/>
  <c r="I114" i="31"/>
  <c r="I113" i="31"/>
  <c r="I112" i="31"/>
  <c r="I111" i="31"/>
  <c r="I110" i="31"/>
  <c r="I109" i="31"/>
  <c r="I108" i="31"/>
  <c r="I107" i="31"/>
  <c r="I106" i="31"/>
  <c r="I105" i="31"/>
  <c r="I104" i="31"/>
  <c r="I103" i="31"/>
  <c r="I102" i="31"/>
  <c r="I101" i="31"/>
  <c r="I100" i="31"/>
  <c r="I99" i="31"/>
  <c r="I98" i="31"/>
  <c r="I97" i="31"/>
  <c r="I96" i="31"/>
  <c r="I95" i="31"/>
  <c r="I94" i="31"/>
  <c r="I93" i="31"/>
  <c r="I92" i="31"/>
  <c r="I91" i="31"/>
  <c r="I90" i="31"/>
  <c r="I89" i="31"/>
  <c r="I306" i="31" l="1"/>
  <c r="I307" i="31"/>
  <c r="I308" i="31"/>
  <c r="I53" i="25" l="1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H31" i="31" l="1"/>
  <c r="H74" i="31"/>
  <c r="H82" i="31"/>
  <c r="H63" i="31"/>
  <c r="H35" i="31"/>
  <c r="H86" i="31"/>
  <c r="H23" i="31"/>
  <c r="H8" i="31"/>
  <c r="I8" i="31" s="1"/>
  <c r="H66" i="31"/>
  <c r="H52" i="31"/>
  <c r="H81" i="31"/>
  <c r="H16" i="31"/>
  <c r="I16" i="31" s="1"/>
  <c r="H60" i="31"/>
  <c r="H49" i="31"/>
  <c r="H20" i="31"/>
  <c r="H30" i="31"/>
  <c r="H15" i="31"/>
  <c r="H73" i="31"/>
  <c r="H59" i="31"/>
  <c r="H45" i="31"/>
  <c r="H54" i="31"/>
  <c r="H47" i="31"/>
  <c r="H40" i="31"/>
  <c r="H33" i="31"/>
  <c r="H26" i="31"/>
  <c r="H18" i="31"/>
  <c r="H11" i="31"/>
  <c r="H76" i="31"/>
  <c r="H69" i="31"/>
  <c r="H84" i="31"/>
  <c r="H13" i="31"/>
  <c r="I13" i="31" s="1"/>
  <c r="H6" i="31"/>
  <c r="H71" i="31"/>
  <c r="H64" i="31"/>
  <c r="H57" i="31"/>
  <c r="H50" i="31"/>
  <c r="H43" i="31"/>
  <c r="H36" i="31"/>
  <c r="H29" i="31"/>
  <c r="H79" i="31"/>
  <c r="H87" i="31"/>
  <c r="H38" i="31"/>
  <c r="H24" i="31"/>
  <c r="H9" i="31"/>
  <c r="H67" i="31"/>
  <c r="H53" i="31"/>
  <c r="H70" i="31"/>
  <c r="I70" i="31" s="1"/>
  <c r="H56" i="31"/>
  <c r="H42" i="31"/>
  <c r="H28" i="31"/>
  <c r="H78" i="31"/>
  <c r="I78" i="31" s="1"/>
  <c r="H62" i="31"/>
  <c r="H55" i="31"/>
  <c r="H48" i="31"/>
  <c r="H41" i="31"/>
  <c r="H34" i="31"/>
  <c r="H27" i="31"/>
  <c r="H19" i="31"/>
  <c r="H12" i="31"/>
  <c r="H77" i="31"/>
  <c r="H85" i="31"/>
  <c r="H22" i="31"/>
  <c r="H14" i="31"/>
  <c r="H7" i="31"/>
  <c r="H72" i="31"/>
  <c r="H65" i="31"/>
  <c r="H58" i="31"/>
  <c r="H51" i="31"/>
  <c r="H44" i="31"/>
  <c r="H37" i="31"/>
  <c r="H80" i="31"/>
  <c r="H21" i="31"/>
  <c r="H5" i="31"/>
  <c r="H46" i="31"/>
  <c r="H39" i="31"/>
  <c r="H32" i="31"/>
  <c r="H25" i="31"/>
  <c r="H17" i="31"/>
  <c r="H10" i="31"/>
  <c r="H75" i="31"/>
  <c r="I75" i="31" s="1"/>
  <c r="H68" i="31"/>
  <c r="H61" i="31"/>
  <c r="H83" i="31"/>
  <c r="J6" i="35"/>
  <c r="I88" i="31" s="1"/>
  <c r="J7" i="35"/>
  <c r="J5" i="35"/>
  <c r="I45" i="31" s="1"/>
  <c r="I20" i="31" l="1"/>
  <c r="I21" i="31"/>
  <c r="I77" i="31"/>
  <c r="I62" i="31"/>
  <c r="I76" i="31"/>
  <c r="I30" i="31"/>
  <c r="I12" i="31"/>
  <c r="I29" i="31"/>
  <c r="I11" i="31"/>
  <c r="I32" i="31"/>
  <c r="I34" i="31"/>
  <c r="I56" i="31"/>
  <c r="I79" i="31"/>
  <c r="I33" i="31"/>
  <c r="I63" i="31"/>
  <c r="I10" i="31"/>
  <c r="I66" i="31"/>
  <c r="I58" i="31"/>
  <c r="I41" i="31"/>
  <c r="I24" i="31"/>
  <c r="I40" i="31"/>
  <c r="I59" i="31"/>
  <c r="I81" i="31"/>
  <c r="I23" i="31"/>
  <c r="I61" i="31"/>
  <c r="I17" i="31"/>
  <c r="I46" i="31"/>
  <c r="I73" i="31"/>
  <c r="I37" i="31"/>
  <c r="I65" i="31"/>
  <c r="I22" i="31"/>
  <c r="I19" i="31"/>
  <c r="I48" i="31"/>
  <c r="I28" i="31"/>
  <c r="I53" i="31"/>
  <c r="I38" i="31"/>
  <c r="I36" i="31"/>
  <c r="I64" i="31"/>
  <c r="I84" i="31"/>
  <c r="I18" i="31"/>
  <c r="I47" i="31"/>
  <c r="I49" i="31"/>
  <c r="I52" i="31"/>
  <c r="I86" i="31"/>
  <c r="I74" i="31"/>
  <c r="I51" i="31"/>
  <c r="I7" i="31"/>
  <c r="I9" i="31"/>
  <c r="I50" i="31"/>
  <c r="I6" i="31"/>
  <c r="I83" i="31"/>
  <c r="I39" i="31"/>
  <c r="I80" i="31"/>
  <c r="I14" i="31"/>
  <c r="I57" i="31"/>
  <c r="I82" i="31"/>
  <c r="I68" i="31"/>
  <c r="I25" i="31"/>
  <c r="I5" i="31"/>
  <c r="I15" i="31"/>
  <c r="I44" i="31"/>
  <c r="I72" i="31"/>
  <c r="I85" i="31"/>
  <c r="I27" i="31"/>
  <c r="I55" i="31"/>
  <c r="I42" i="31"/>
  <c r="I67" i="31"/>
  <c r="I87" i="31"/>
  <c r="I43" i="31"/>
  <c r="I71" i="31"/>
  <c r="I69" i="31"/>
  <c r="I26" i="31"/>
  <c r="I54" i="31"/>
  <c r="I60" i="31"/>
  <c r="I35" i="31"/>
  <c r="I31" i="31"/>
  <c r="G5" i="35"/>
  <c r="H5" i="35" s="1"/>
  <c r="I5" i="35" s="1"/>
  <c r="G7" i="35"/>
  <c r="H7" i="35" s="1"/>
  <c r="I7" i="35" s="1"/>
  <c r="G6" i="35"/>
  <c r="H6" i="35" s="1"/>
  <c r="I6" i="35" s="1"/>
  <c r="I14" i="25" l="1"/>
  <c r="I12" i="25"/>
  <c r="I16" i="25"/>
  <c r="I8" i="25"/>
  <c r="I5" i="25"/>
  <c r="I7" i="25"/>
  <c r="I13" i="25"/>
  <c r="I22" i="25"/>
  <c r="I10" i="25"/>
  <c r="I21" i="25"/>
  <c r="I9" i="25"/>
  <c r="I15" i="25"/>
  <c r="I11" i="25"/>
  <c r="I19" i="25"/>
  <c r="I18" i="25"/>
  <c r="I17" i="25"/>
  <c r="I20" i="25"/>
  <c r="I6" i="25"/>
  <c r="J604" i="34"/>
  <c r="I604" i="34"/>
  <c r="J603" i="34"/>
  <c r="I603" i="34"/>
  <c r="J602" i="34"/>
  <c r="I602" i="34"/>
  <c r="J601" i="34"/>
  <c r="I601" i="34"/>
  <c r="J600" i="34"/>
  <c r="I600" i="34"/>
  <c r="J599" i="34"/>
  <c r="I599" i="34"/>
  <c r="J598" i="34"/>
  <c r="I598" i="34"/>
  <c r="J597" i="34"/>
  <c r="I597" i="34"/>
  <c r="J596" i="34"/>
  <c r="I596" i="34"/>
  <c r="J595" i="34"/>
  <c r="I595" i="34"/>
  <c r="J594" i="34"/>
  <c r="I594" i="34"/>
  <c r="J593" i="34"/>
  <c r="I593" i="34"/>
  <c r="J592" i="34"/>
  <c r="I592" i="34"/>
  <c r="J591" i="34"/>
  <c r="I591" i="34"/>
  <c r="J590" i="34"/>
  <c r="I590" i="34"/>
  <c r="J589" i="34"/>
  <c r="I589" i="34"/>
  <c r="J588" i="34"/>
  <c r="I588" i="34"/>
  <c r="J587" i="34"/>
  <c r="I587" i="34"/>
  <c r="J586" i="34"/>
  <c r="I586" i="34"/>
  <c r="J585" i="34"/>
  <c r="I585" i="34"/>
  <c r="J584" i="34"/>
  <c r="I584" i="34"/>
  <c r="J583" i="34"/>
  <c r="I583" i="34"/>
  <c r="J582" i="34"/>
  <c r="I582" i="34"/>
  <c r="J581" i="34"/>
  <c r="I581" i="34"/>
  <c r="J580" i="34"/>
  <c r="I580" i="34"/>
  <c r="J579" i="34"/>
  <c r="I579" i="34"/>
  <c r="J578" i="34"/>
  <c r="I578" i="34"/>
  <c r="J577" i="34"/>
  <c r="I577" i="34"/>
  <c r="J576" i="34"/>
  <c r="I576" i="34"/>
  <c r="J575" i="34"/>
  <c r="I575" i="34"/>
  <c r="J574" i="34"/>
  <c r="I574" i="34"/>
  <c r="J573" i="34"/>
  <c r="I573" i="34"/>
  <c r="J572" i="34"/>
  <c r="I572" i="34"/>
  <c r="J571" i="34"/>
  <c r="I571" i="34"/>
  <c r="J570" i="34"/>
  <c r="I570" i="34"/>
  <c r="J569" i="34"/>
  <c r="I569" i="34"/>
  <c r="J568" i="34"/>
  <c r="I568" i="34"/>
  <c r="J567" i="34"/>
  <c r="I567" i="34"/>
  <c r="J566" i="34"/>
  <c r="I566" i="34"/>
  <c r="J565" i="34"/>
  <c r="I565" i="34"/>
  <c r="J564" i="34"/>
  <c r="I564" i="34"/>
  <c r="J563" i="34"/>
  <c r="I563" i="34"/>
  <c r="J562" i="34"/>
  <c r="I562" i="34"/>
  <c r="J561" i="34"/>
  <c r="I561" i="34"/>
  <c r="J560" i="34"/>
  <c r="I560" i="34"/>
  <c r="J559" i="34"/>
  <c r="I559" i="34"/>
  <c r="J558" i="34"/>
  <c r="I558" i="34"/>
  <c r="J557" i="34"/>
  <c r="I557" i="34"/>
  <c r="J556" i="34"/>
  <c r="I556" i="34"/>
  <c r="J555" i="34"/>
  <c r="I555" i="34"/>
  <c r="J554" i="34"/>
  <c r="I554" i="34"/>
  <c r="J553" i="34"/>
  <c r="I553" i="34"/>
  <c r="J552" i="34"/>
  <c r="I552" i="34"/>
  <c r="J551" i="34"/>
  <c r="I551" i="34"/>
  <c r="J550" i="34"/>
  <c r="I550" i="34"/>
  <c r="J549" i="34"/>
  <c r="I549" i="34"/>
  <c r="J548" i="34"/>
  <c r="I548" i="34"/>
  <c r="J547" i="34"/>
  <c r="I547" i="34"/>
  <c r="J546" i="34"/>
  <c r="I546" i="34"/>
  <c r="J545" i="34"/>
  <c r="I545" i="34"/>
  <c r="J544" i="34"/>
  <c r="I544" i="34"/>
  <c r="J543" i="34"/>
  <c r="I543" i="34"/>
  <c r="J542" i="34"/>
  <c r="I542" i="34"/>
  <c r="J541" i="34"/>
  <c r="I541" i="34"/>
  <c r="J540" i="34"/>
  <c r="I540" i="34"/>
  <c r="J539" i="34"/>
  <c r="I539" i="34"/>
  <c r="J538" i="34"/>
  <c r="I538" i="34"/>
  <c r="J537" i="34"/>
  <c r="I537" i="34"/>
  <c r="J536" i="34"/>
  <c r="I536" i="34"/>
  <c r="J535" i="34"/>
  <c r="I535" i="34"/>
  <c r="J534" i="34"/>
  <c r="I534" i="34"/>
  <c r="J533" i="34"/>
  <c r="I533" i="34"/>
  <c r="J532" i="34"/>
  <c r="I532" i="34"/>
  <c r="J531" i="34"/>
  <c r="I531" i="34"/>
  <c r="J530" i="34"/>
  <c r="I530" i="34"/>
  <c r="J529" i="34"/>
  <c r="I529" i="34"/>
  <c r="J528" i="34"/>
  <c r="I528" i="34"/>
  <c r="J527" i="34"/>
  <c r="I527" i="34"/>
  <c r="J526" i="34"/>
  <c r="I526" i="34"/>
  <c r="J525" i="34"/>
  <c r="I525" i="34"/>
  <c r="J524" i="34"/>
  <c r="I524" i="34"/>
  <c r="J523" i="34"/>
  <c r="I523" i="34"/>
  <c r="J522" i="34"/>
  <c r="I522" i="34"/>
  <c r="J521" i="34"/>
  <c r="I521" i="34"/>
  <c r="J520" i="34"/>
  <c r="I520" i="34"/>
  <c r="J519" i="34"/>
  <c r="I519" i="34"/>
  <c r="J518" i="34"/>
  <c r="I518" i="34"/>
  <c r="J517" i="34"/>
  <c r="I517" i="34"/>
  <c r="J516" i="34"/>
  <c r="I516" i="34"/>
  <c r="J515" i="34"/>
  <c r="I515" i="34"/>
  <c r="J514" i="34"/>
  <c r="I514" i="34"/>
  <c r="J513" i="34"/>
  <c r="I513" i="34"/>
  <c r="J512" i="34"/>
  <c r="I512" i="34"/>
  <c r="J511" i="34"/>
  <c r="I511" i="34"/>
  <c r="J510" i="34"/>
  <c r="I510" i="34"/>
  <c r="J509" i="34"/>
  <c r="I509" i="34"/>
  <c r="J508" i="34"/>
  <c r="I508" i="34"/>
  <c r="J507" i="34"/>
  <c r="I507" i="34"/>
  <c r="J506" i="34"/>
  <c r="I506" i="34"/>
  <c r="J505" i="34"/>
  <c r="I505" i="34"/>
  <c r="J504" i="34"/>
  <c r="I504" i="34"/>
  <c r="J503" i="34"/>
  <c r="I503" i="34"/>
  <c r="J502" i="34"/>
  <c r="I502" i="34"/>
  <c r="J501" i="34"/>
  <c r="I501" i="34"/>
  <c r="J500" i="34"/>
  <c r="I500" i="34"/>
  <c r="J499" i="34"/>
  <c r="I499" i="34"/>
  <c r="J498" i="34"/>
  <c r="I498" i="34"/>
  <c r="J497" i="34"/>
  <c r="I497" i="34"/>
  <c r="J496" i="34"/>
  <c r="I496" i="34"/>
  <c r="J495" i="34"/>
  <c r="I495" i="34"/>
  <c r="J494" i="34"/>
  <c r="I494" i="34"/>
  <c r="J493" i="34"/>
  <c r="I493" i="34"/>
  <c r="J492" i="34"/>
  <c r="I492" i="34"/>
  <c r="J491" i="34"/>
  <c r="I491" i="34"/>
  <c r="J490" i="34"/>
  <c r="I490" i="34"/>
  <c r="J489" i="34"/>
  <c r="I489" i="34"/>
  <c r="J488" i="34"/>
  <c r="I488" i="34"/>
  <c r="J487" i="34"/>
  <c r="I487" i="34"/>
  <c r="J486" i="34"/>
  <c r="I486" i="34"/>
  <c r="J485" i="34"/>
  <c r="I485" i="34"/>
  <c r="J484" i="34"/>
  <c r="I484" i="34"/>
  <c r="J483" i="34"/>
  <c r="I483" i="34"/>
  <c r="J482" i="34"/>
  <c r="I482" i="34"/>
  <c r="J481" i="34"/>
  <c r="I481" i="34"/>
  <c r="J480" i="34"/>
  <c r="I480" i="34"/>
  <c r="J479" i="34"/>
  <c r="I479" i="34"/>
  <c r="J478" i="34"/>
  <c r="I478" i="34"/>
  <c r="J477" i="34"/>
  <c r="I477" i="34"/>
  <c r="J476" i="34"/>
  <c r="I476" i="34"/>
  <c r="J475" i="34"/>
  <c r="I475" i="34"/>
  <c r="J474" i="34"/>
  <c r="I474" i="34"/>
  <c r="J473" i="34"/>
  <c r="I473" i="34"/>
  <c r="J472" i="34"/>
  <c r="I472" i="34"/>
  <c r="J471" i="34"/>
  <c r="I471" i="34"/>
  <c r="J470" i="34"/>
  <c r="I470" i="34"/>
  <c r="J469" i="34"/>
  <c r="I469" i="34"/>
  <c r="J468" i="34"/>
  <c r="I468" i="34"/>
  <c r="J467" i="34"/>
  <c r="I467" i="34"/>
  <c r="J466" i="34"/>
  <c r="I466" i="34"/>
  <c r="J465" i="34"/>
  <c r="I465" i="34"/>
  <c r="J464" i="34"/>
  <c r="I464" i="34"/>
  <c r="J463" i="34"/>
  <c r="I463" i="34"/>
  <c r="J462" i="34"/>
  <c r="I462" i="34"/>
  <c r="J461" i="34"/>
  <c r="I461" i="34"/>
  <c r="J460" i="34"/>
  <c r="I460" i="34"/>
  <c r="J459" i="34"/>
  <c r="I459" i="34"/>
  <c r="J458" i="34"/>
  <c r="I458" i="34"/>
  <c r="J457" i="34"/>
  <c r="I457" i="34"/>
  <c r="J456" i="34"/>
  <c r="I456" i="34"/>
  <c r="J455" i="34"/>
  <c r="I455" i="34"/>
  <c r="J454" i="34"/>
  <c r="I454" i="34"/>
  <c r="J453" i="34"/>
  <c r="I453" i="34"/>
  <c r="J452" i="34"/>
  <c r="I452" i="34"/>
  <c r="J451" i="34"/>
  <c r="I451" i="34"/>
  <c r="J450" i="34"/>
  <c r="I450" i="34"/>
  <c r="J449" i="34"/>
  <c r="I449" i="34"/>
  <c r="J448" i="34"/>
  <c r="I448" i="34"/>
  <c r="J447" i="34"/>
  <c r="I447" i="34"/>
  <c r="J446" i="34"/>
  <c r="I446" i="34"/>
  <c r="J445" i="34"/>
  <c r="I445" i="34"/>
  <c r="J444" i="34"/>
  <c r="I444" i="34"/>
  <c r="J443" i="34"/>
  <c r="I443" i="34"/>
  <c r="J442" i="34"/>
  <c r="I442" i="34"/>
  <c r="J441" i="34"/>
  <c r="I441" i="34"/>
  <c r="J440" i="34"/>
  <c r="I440" i="34"/>
  <c r="J439" i="34"/>
  <c r="I439" i="34"/>
  <c r="J438" i="34"/>
  <c r="I438" i="34"/>
  <c r="J437" i="34"/>
  <c r="I437" i="34"/>
  <c r="J436" i="34"/>
  <c r="I436" i="34"/>
  <c r="J435" i="34"/>
  <c r="I435" i="34"/>
  <c r="J434" i="34"/>
  <c r="I434" i="34"/>
  <c r="J433" i="34"/>
  <c r="I433" i="34"/>
  <c r="J432" i="34"/>
  <c r="I432" i="34"/>
  <c r="J431" i="34"/>
  <c r="I431" i="34"/>
  <c r="J430" i="34"/>
  <c r="I430" i="34"/>
  <c r="J429" i="34"/>
  <c r="I429" i="34"/>
  <c r="J428" i="34"/>
  <c r="I428" i="34"/>
  <c r="J427" i="34"/>
  <c r="I427" i="34"/>
  <c r="J426" i="34"/>
  <c r="I426" i="34"/>
  <c r="J425" i="34"/>
  <c r="I425" i="34"/>
  <c r="J424" i="34"/>
  <c r="I424" i="34"/>
  <c r="J423" i="34"/>
  <c r="I423" i="34"/>
  <c r="J422" i="34"/>
  <c r="I422" i="34"/>
  <c r="J421" i="34"/>
  <c r="I421" i="34"/>
  <c r="J420" i="34"/>
  <c r="I420" i="34"/>
  <c r="J419" i="34"/>
  <c r="I419" i="34"/>
  <c r="J418" i="34"/>
  <c r="I418" i="34"/>
  <c r="J417" i="34"/>
  <c r="I417" i="34"/>
  <c r="J416" i="34"/>
  <c r="I416" i="34"/>
  <c r="J415" i="34"/>
  <c r="I415" i="34"/>
  <c r="J414" i="34"/>
  <c r="I414" i="34"/>
  <c r="J413" i="34"/>
  <c r="I413" i="34"/>
  <c r="J412" i="34"/>
  <c r="I412" i="34"/>
  <c r="J411" i="34"/>
  <c r="I411" i="34"/>
  <c r="J410" i="34"/>
  <c r="I410" i="34"/>
  <c r="J409" i="34"/>
  <c r="I409" i="34"/>
  <c r="J408" i="34"/>
  <c r="I408" i="34"/>
  <c r="J407" i="34"/>
  <c r="I407" i="34"/>
  <c r="J406" i="34"/>
  <c r="I406" i="34"/>
  <c r="J405" i="34"/>
  <c r="I405" i="34"/>
  <c r="J404" i="34"/>
  <c r="I404" i="34"/>
  <c r="J403" i="34"/>
  <c r="I403" i="34"/>
  <c r="J402" i="34"/>
  <c r="I402" i="34"/>
  <c r="J401" i="34"/>
  <c r="I401" i="34"/>
  <c r="J400" i="34"/>
  <c r="I400" i="34"/>
  <c r="J399" i="34"/>
  <c r="I399" i="34"/>
  <c r="J398" i="34"/>
  <c r="I398" i="34"/>
  <c r="J397" i="34"/>
  <c r="I397" i="34"/>
  <c r="J396" i="34"/>
  <c r="I396" i="34"/>
  <c r="J395" i="34"/>
  <c r="I395" i="34"/>
  <c r="J394" i="34"/>
  <c r="I394" i="34"/>
  <c r="J393" i="34"/>
  <c r="I393" i="34"/>
  <c r="J392" i="34"/>
  <c r="I392" i="34"/>
  <c r="J391" i="34"/>
  <c r="I391" i="34"/>
  <c r="J390" i="34"/>
  <c r="I390" i="34"/>
  <c r="J389" i="34"/>
  <c r="I389" i="34"/>
  <c r="J388" i="34"/>
  <c r="I388" i="34"/>
  <c r="J387" i="34"/>
  <c r="I387" i="34"/>
  <c r="J386" i="34"/>
  <c r="I386" i="34"/>
  <c r="J385" i="34"/>
  <c r="I385" i="34"/>
  <c r="J384" i="34"/>
  <c r="I384" i="34"/>
  <c r="J383" i="34"/>
  <c r="I383" i="34"/>
  <c r="J382" i="34"/>
  <c r="I382" i="34"/>
  <c r="J381" i="34"/>
  <c r="I381" i="34"/>
  <c r="J380" i="34"/>
  <c r="I380" i="34"/>
  <c r="J379" i="34"/>
  <c r="I379" i="34"/>
  <c r="J378" i="34"/>
  <c r="I378" i="34"/>
  <c r="J377" i="34"/>
  <c r="I377" i="34"/>
  <c r="J376" i="34"/>
  <c r="I376" i="34"/>
  <c r="J375" i="34"/>
  <c r="I375" i="34"/>
  <c r="J374" i="34"/>
  <c r="I374" i="34"/>
  <c r="J373" i="34"/>
  <c r="I373" i="34"/>
  <c r="J372" i="34"/>
  <c r="I372" i="34"/>
  <c r="J371" i="34"/>
  <c r="I371" i="34"/>
  <c r="J370" i="34"/>
  <c r="I370" i="34"/>
  <c r="J369" i="34"/>
  <c r="I369" i="34"/>
  <c r="J368" i="34"/>
  <c r="I368" i="34"/>
  <c r="J367" i="34"/>
  <c r="I367" i="34"/>
  <c r="J366" i="34"/>
  <c r="I366" i="34"/>
  <c r="J365" i="34"/>
  <c r="I365" i="34"/>
  <c r="J364" i="34"/>
  <c r="I364" i="34"/>
  <c r="J363" i="34"/>
  <c r="I363" i="34"/>
  <c r="J362" i="34"/>
  <c r="I362" i="34"/>
  <c r="J361" i="34"/>
  <c r="I361" i="34"/>
  <c r="J360" i="34"/>
  <c r="I360" i="34"/>
  <c r="J359" i="34"/>
  <c r="I359" i="34"/>
  <c r="J358" i="34"/>
  <c r="I358" i="34"/>
  <c r="J357" i="34"/>
  <c r="I357" i="34"/>
  <c r="J356" i="34"/>
  <c r="I356" i="34"/>
  <c r="J355" i="34"/>
  <c r="I355" i="34"/>
  <c r="J354" i="34"/>
  <c r="I354" i="34"/>
  <c r="J353" i="34"/>
  <c r="I353" i="34"/>
  <c r="J352" i="34"/>
  <c r="I352" i="34"/>
  <c r="J351" i="34"/>
  <c r="I351" i="34"/>
  <c r="J350" i="34"/>
  <c r="I350" i="34"/>
  <c r="J349" i="34"/>
  <c r="I349" i="34"/>
  <c r="J348" i="34"/>
  <c r="I348" i="34"/>
  <c r="J347" i="34"/>
  <c r="I347" i="34"/>
  <c r="J346" i="34"/>
  <c r="I346" i="34"/>
  <c r="J345" i="34"/>
  <c r="I345" i="34"/>
  <c r="J344" i="34"/>
  <c r="I344" i="34"/>
  <c r="J343" i="34"/>
  <c r="I343" i="34"/>
  <c r="J342" i="34"/>
  <c r="I342" i="34"/>
  <c r="J341" i="34"/>
  <c r="I341" i="34"/>
  <c r="J340" i="34"/>
  <c r="I340" i="34"/>
  <c r="J339" i="34"/>
  <c r="I339" i="34"/>
  <c r="J338" i="34"/>
  <c r="I338" i="34"/>
  <c r="J337" i="34"/>
  <c r="I337" i="34"/>
  <c r="J336" i="34"/>
  <c r="I336" i="34"/>
  <c r="J335" i="34"/>
  <c r="I335" i="34"/>
  <c r="J334" i="34"/>
  <c r="I334" i="34"/>
  <c r="J333" i="34"/>
  <c r="I333" i="34"/>
  <c r="J332" i="34"/>
  <c r="I332" i="34"/>
  <c r="J331" i="34"/>
  <c r="I331" i="34"/>
  <c r="J330" i="34"/>
  <c r="I330" i="34"/>
  <c r="J329" i="34"/>
  <c r="I329" i="34"/>
  <c r="J328" i="34"/>
  <c r="I328" i="34"/>
  <c r="J327" i="34"/>
  <c r="I327" i="34"/>
  <c r="J326" i="34"/>
  <c r="I326" i="34"/>
  <c r="J325" i="34"/>
  <c r="I325" i="34"/>
  <c r="J324" i="34"/>
  <c r="I324" i="34"/>
  <c r="J323" i="34"/>
  <c r="I323" i="34"/>
  <c r="J322" i="34"/>
  <c r="I322" i="34"/>
  <c r="J321" i="34"/>
  <c r="I321" i="34"/>
  <c r="J320" i="34"/>
  <c r="I320" i="34"/>
  <c r="J319" i="34"/>
  <c r="I319" i="34"/>
  <c r="J318" i="34"/>
  <c r="I318" i="34"/>
  <c r="J317" i="34"/>
  <c r="I317" i="34"/>
  <c r="J316" i="34"/>
  <c r="I316" i="34"/>
  <c r="J315" i="34"/>
  <c r="I315" i="34"/>
  <c r="J314" i="34"/>
  <c r="I314" i="34"/>
  <c r="J313" i="34"/>
  <c r="I313" i="34"/>
  <c r="J312" i="34"/>
  <c r="I312" i="34"/>
  <c r="J311" i="34"/>
  <c r="I311" i="34"/>
  <c r="J310" i="34"/>
  <c r="I310" i="34"/>
  <c r="J309" i="34"/>
  <c r="I309" i="34"/>
  <c r="J308" i="34"/>
  <c r="I308" i="34"/>
  <c r="J307" i="34"/>
  <c r="I307" i="34"/>
  <c r="J306" i="34"/>
  <c r="I306" i="34"/>
  <c r="J305" i="34"/>
  <c r="I305" i="34"/>
  <c r="J304" i="34"/>
  <c r="I304" i="34"/>
  <c r="J303" i="34"/>
  <c r="I303" i="34"/>
  <c r="J302" i="34"/>
  <c r="I302" i="34"/>
  <c r="J301" i="34"/>
  <c r="I301" i="34"/>
  <c r="J300" i="34"/>
  <c r="I300" i="34"/>
  <c r="J299" i="34"/>
  <c r="I299" i="34"/>
  <c r="J298" i="34"/>
  <c r="I298" i="34"/>
  <c r="J297" i="34"/>
  <c r="I297" i="34"/>
  <c r="J296" i="34"/>
  <c r="I296" i="34"/>
  <c r="J295" i="34"/>
  <c r="I295" i="34"/>
  <c r="J294" i="34"/>
  <c r="I294" i="34"/>
  <c r="J293" i="34"/>
  <c r="I293" i="34"/>
  <c r="J292" i="34"/>
  <c r="I292" i="34"/>
  <c r="J291" i="34"/>
  <c r="I291" i="34"/>
  <c r="J290" i="34"/>
  <c r="I290" i="34"/>
  <c r="J289" i="34"/>
  <c r="I289" i="34"/>
  <c r="J288" i="34"/>
  <c r="I288" i="34"/>
  <c r="J287" i="34"/>
  <c r="I287" i="34"/>
  <c r="J286" i="34"/>
  <c r="I286" i="34"/>
  <c r="J285" i="34"/>
  <c r="I285" i="34"/>
  <c r="J284" i="34"/>
  <c r="I284" i="34"/>
  <c r="J283" i="34"/>
  <c r="I283" i="34"/>
  <c r="J282" i="34"/>
  <c r="I282" i="34"/>
  <c r="J281" i="34"/>
  <c r="I281" i="34"/>
  <c r="J280" i="34"/>
  <c r="I280" i="34"/>
  <c r="J279" i="34"/>
  <c r="I279" i="34"/>
  <c r="J278" i="34"/>
  <c r="I278" i="34"/>
  <c r="J277" i="34"/>
  <c r="I277" i="34"/>
  <c r="J276" i="34"/>
  <c r="I276" i="34"/>
  <c r="J275" i="34"/>
  <c r="I275" i="34"/>
  <c r="J274" i="34"/>
  <c r="I274" i="34"/>
  <c r="J273" i="34"/>
  <c r="I273" i="34"/>
  <c r="J272" i="34"/>
  <c r="I272" i="34"/>
  <c r="J271" i="34"/>
  <c r="I271" i="34"/>
  <c r="J270" i="34"/>
  <c r="I270" i="34"/>
  <c r="J269" i="34"/>
  <c r="I269" i="34"/>
  <c r="J268" i="34"/>
  <c r="I268" i="34"/>
  <c r="J267" i="34"/>
  <c r="I267" i="34"/>
  <c r="J266" i="34"/>
  <c r="I266" i="34"/>
  <c r="J265" i="34"/>
  <c r="I265" i="34"/>
  <c r="J264" i="34"/>
  <c r="I264" i="34"/>
  <c r="J263" i="34"/>
  <c r="I263" i="34"/>
  <c r="J262" i="34"/>
  <c r="I262" i="34"/>
  <c r="J261" i="34"/>
  <c r="I261" i="34"/>
  <c r="J260" i="34"/>
  <c r="I260" i="34"/>
  <c r="J259" i="34"/>
  <c r="I259" i="34"/>
  <c r="J258" i="34"/>
  <c r="I258" i="34"/>
  <c r="J257" i="34"/>
  <c r="I257" i="34"/>
  <c r="J256" i="34"/>
  <c r="I256" i="34"/>
  <c r="J255" i="34"/>
  <c r="I255" i="34"/>
  <c r="J254" i="34"/>
  <c r="I254" i="34"/>
  <c r="J253" i="34"/>
  <c r="I253" i="34"/>
  <c r="J252" i="34"/>
  <c r="I252" i="34"/>
  <c r="J251" i="34"/>
  <c r="I251" i="34"/>
  <c r="J250" i="34"/>
  <c r="I250" i="34"/>
  <c r="J249" i="34"/>
  <c r="I249" i="34"/>
  <c r="J248" i="34"/>
  <c r="I248" i="34"/>
  <c r="J247" i="34"/>
  <c r="I247" i="34"/>
  <c r="J246" i="34"/>
  <c r="I246" i="34"/>
  <c r="J245" i="34"/>
  <c r="I245" i="34"/>
  <c r="J244" i="34"/>
  <c r="I244" i="34"/>
  <c r="J243" i="34"/>
  <c r="I243" i="34"/>
  <c r="J242" i="34"/>
  <c r="I242" i="34"/>
  <c r="J241" i="34"/>
  <c r="I241" i="34"/>
  <c r="J240" i="34"/>
  <c r="I240" i="34"/>
  <c r="J239" i="34"/>
  <c r="I239" i="34"/>
  <c r="J238" i="34"/>
  <c r="I238" i="34"/>
  <c r="J237" i="34"/>
  <c r="I237" i="34"/>
  <c r="J236" i="34"/>
  <c r="I236" i="34"/>
  <c r="J235" i="34"/>
  <c r="I235" i="34"/>
  <c r="J234" i="34"/>
  <c r="I234" i="34"/>
  <c r="J233" i="34"/>
  <c r="I233" i="34"/>
  <c r="J232" i="34"/>
  <c r="I232" i="34"/>
  <c r="J231" i="34"/>
  <c r="I231" i="34"/>
  <c r="J230" i="34"/>
  <c r="I230" i="34"/>
  <c r="J229" i="34"/>
  <c r="I229" i="34"/>
  <c r="J228" i="34"/>
  <c r="I228" i="34"/>
  <c r="J227" i="34"/>
  <c r="I227" i="34"/>
  <c r="J226" i="34"/>
  <c r="I226" i="34"/>
  <c r="J225" i="34"/>
  <c r="I225" i="34"/>
  <c r="J224" i="34"/>
  <c r="I224" i="34"/>
  <c r="J223" i="34"/>
  <c r="I223" i="34"/>
  <c r="J222" i="34"/>
  <c r="I222" i="34"/>
  <c r="J221" i="34"/>
  <c r="I221" i="34"/>
  <c r="J220" i="34"/>
  <c r="I220" i="34"/>
  <c r="J219" i="34"/>
  <c r="I219" i="34"/>
  <c r="J218" i="34"/>
  <c r="I218" i="34"/>
  <c r="J217" i="34"/>
  <c r="I217" i="34"/>
  <c r="J216" i="34"/>
  <c r="I216" i="34"/>
  <c r="J215" i="34"/>
  <c r="I215" i="34"/>
  <c r="J214" i="34"/>
  <c r="I214" i="34"/>
  <c r="J213" i="34"/>
  <c r="I213" i="34"/>
  <c r="J212" i="34"/>
  <c r="I212" i="34"/>
  <c r="J211" i="34"/>
  <c r="I211" i="34"/>
  <c r="J210" i="34"/>
  <c r="I210" i="34"/>
  <c r="J209" i="34"/>
  <c r="I209" i="34"/>
  <c r="J208" i="34"/>
  <c r="I208" i="34"/>
  <c r="J207" i="34"/>
  <c r="I207" i="34"/>
  <c r="J206" i="34"/>
  <c r="I206" i="34"/>
  <c r="J205" i="34"/>
  <c r="I205" i="34"/>
  <c r="J204" i="34"/>
  <c r="I204" i="34"/>
  <c r="J203" i="34"/>
  <c r="I203" i="34"/>
  <c r="J202" i="34"/>
  <c r="I202" i="34"/>
  <c r="J201" i="34"/>
  <c r="I201" i="34"/>
  <c r="J200" i="34"/>
  <c r="I200" i="34"/>
  <c r="J199" i="34"/>
  <c r="I199" i="34"/>
  <c r="J198" i="34"/>
  <c r="I198" i="34"/>
  <c r="J197" i="34"/>
  <c r="I197" i="34"/>
  <c r="J196" i="34"/>
  <c r="I196" i="34"/>
  <c r="J195" i="34"/>
  <c r="I195" i="34"/>
  <c r="J194" i="34"/>
  <c r="I194" i="34"/>
  <c r="J193" i="34"/>
  <c r="I193" i="34"/>
  <c r="J192" i="34"/>
  <c r="I192" i="34"/>
  <c r="J191" i="34"/>
  <c r="I191" i="34"/>
  <c r="J190" i="34"/>
  <c r="I190" i="34"/>
  <c r="J189" i="34"/>
  <c r="I189" i="34"/>
  <c r="J188" i="34"/>
  <c r="I188" i="34"/>
  <c r="J187" i="34"/>
  <c r="I187" i="34"/>
  <c r="J186" i="34"/>
  <c r="I186" i="34"/>
  <c r="J185" i="34"/>
  <c r="I185" i="34"/>
  <c r="J184" i="34"/>
  <c r="I184" i="34"/>
  <c r="J183" i="34"/>
  <c r="I183" i="34"/>
  <c r="J182" i="34"/>
  <c r="I182" i="34"/>
  <c r="J181" i="34"/>
  <c r="I181" i="34"/>
  <c r="J180" i="34"/>
  <c r="I180" i="34"/>
  <c r="J179" i="34"/>
  <c r="I179" i="34"/>
  <c r="J178" i="34"/>
  <c r="I178" i="34"/>
  <c r="J177" i="34"/>
  <c r="I177" i="34"/>
  <c r="J176" i="34"/>
  <c r="I176" i="34"/>
  <c r="J175" i="34"/>
  <c r="I175" i="34"/>
  <c r="J174" i="34"/>
  <c r="I174" i="34"/>
  <c r="J173" i="34"/>
  <c r="I173" i="34"/>
  <c r="J172" i="34"/>
  <c r="I172" i="34"/>
  <c r="J171" i="34"/>
  <c r="I171" i="34"/>
  <c r="J170" i="34"/>
  <c r="I170" i="34"/>
  <c r="J169" i="34"/>
  <c r="I169" i="34"/>
  <c r="J168" i="34"/>
  <c r="I168" i="34"/>
  <c r="J167" i="34"/>
  <c r="I167" i="34"/>
  <c r="J166" i="34"/>
  <c r="I166" i="34"/>
  <c r="J165" i="34"/>
  <c r="I165" i="34"/>
  <c r="J164" i="34"/>
  <c r="I164" i="34"/>
  <c r="J163" i="34"/>
  <c r="I163" i="34"/>
  <c r="J162" i="34"/>
  <c r="I162" i="34"/>
  <c r="J161" i="34"/>
  <c r="I161" i="34"/>
  <c r="J160" i="34"/>
  <c r="I160" i="34"/>
  <c r="J159" i="34"/>
  <c r="I159" i="34"/>
  <c r="J158" i="34"/>
  <c r="I158" i="34"/>
  <c r="J157" i="34"/>
  <c r="I157" i="34"/>
  <c r="J156" i="34"/>
  <c r="I156" i="34"/>
  <c r="J155" i="34"/>
  <c r="I155" i="34"/>
  <c r="J154" i="34"/>
  <c r="I154" i="34"/>
  <c r="J153" i="34"/>
  <c r="I153" i="34"/>
  <c r="J152" i="34"/>
  <c r="I152" i="34"/>
  <c r="J151" i="34"/>
  <c r="I151" i="34"/>
  <c r="J150" i="34"/>
  <c r="I150" i="34"/>
  <c r="J149" i="34"/>
  <c r="I149" i="34"/>
  <c r="J148" i="34"/>
  <c r="I148" i="34"/>
  <c r="J147" i="34"/>
  <c r="I147" i="34"/>
  <c r="J146" i="34"/>
  <c r="I146" i="34"/>
  <c r="J145" i="34"/>
  <c r="I145" i="34"/>
  <c r="J144" i="34"/>
  <c r="I144" i="34"/>
  <c r="J143" i="34"/>
  <c r="I143" i="34"/>
  <c r="J142" i="34"/>
  <c r="I142" i="34"/>
  <c r="J141" i="34"/>
  <c r="I141" i="34"/>
  <c r="J140" i="34"/>
  <c r="I140" i="34"/>
  <c r="J139" i="34"/>
  <c r="I139" i="34"/>
  <c r="J138" i="34"/>
  <c r="I138" i="34"/>
  <c r="J137" i="34"/>
  <c r="I137" i="34"/>
  <c r="J136" i="34"/>
  <c r="I136" i="34"/>
  <c r="J135" i="34"/>
  <c r="I135" i="34"/>
  <c r="J134" i="34"/>
  <c r="I134" i="34"/>
  <c r="J133" i="34"/>
  <c r="I133" i="34"/>
  <c r="J132" i="34"/>
  <c r="I132" i="34"/>
  <c r="J131" i="34"/>
  <c r="I131" i="34"/>
  <c r="J130" i="34"/>
  <c r="I130" i="34"/>
  <c r="J129" i="34"/>
  <c r="I129" i="34"/>
  <c r="J128" i="34"/>
  <c r="I128" i="34"/>
  <c r="J127" i="34"/>
  <c r="I127" i="34"/>
  <c r="J126" i="34"/>
  <c r="I126" i="34"/>
  <c r="J125" i="34"/>
  <c r="I125" i="34"/>
  <c r="J124" i="34"/>
  <c r="I124" i="34"/>
  <c r="J123" i="34"/>
  <c r="I123" i="34"/>
  <c r="J122" i="34"/>
  <c r="I122" i="34"/>
  <c r="J121" i="34"/>
  <c r="I121" i="34"/>
  <c r="J120" i="34"/>
  <c r="I120" i="34"/>
  <c r="J119" i="34"/>
  <c r="I119" i="34"/>
  <c r="J118" i="34"/>
  <c r="I118" i="34"/>
  <c r="J117" i="34"/>
  <c r="I117" i="34"/>
  <c r="J116" i="34"/>
  <c r="I116" i="34"/>
  <c r="J115" i="34"/>
  <c r="I115" i="34"/>
  <c r="J114" i="34"/>
  <c r="I114" i="34"/>
  <c r="J113" i="34"/>
  <c r="I113" i="34"/>
  <c r="J112" i="34"/>
  <c r="I112" i="34"/>
  <c r="J111" i="34"/>
  <c r="I111" i="34"/>
  <c r="J110" i="34"/>
  <c r="I110" i="34"/>
  <c r="J109" i="34"/>
  <c r="I109" i="34"/>
  <c r="J108" i="34"/>
  <c r="I108" i="34"/>
  <c r="J107" i="34"/>
  <c r="I107" i="34"/>
  <c r="J106" i="34"/>
  <c r="I106" i="34"/>
  <c r="J105" i="34"/>
  <c r="I105" i="34"/>
  <c r="J104" i="34"/>
  <c r="I104" i="34"/>
  <c r="J103" i="34"/>
  <c r="I103" i="34"/>
  <c r="J102" i="34"/>
  <c r="I102" i="34"/>
  <c r="J101" i="34"/>
  <c r="I101" i="34"/>
  <c r="J100" i="34"/>
  <c r="I100" i="34"/>
  <c r="J99" i="34"/>
  <c r="I99" i="34"/>
  <c r="J98" i="34"/>
  <c r="I98" i="34"/>
  <c r="J97" i="34"/>
  <c r="I97" i="34"/>
  <c r="J96" i="34"/>
  <c r="I96" i="34"/>
  <c r="J95" i="34"/>
  <c r="I95" i="34"/>
  <c r="J94" i="34"/>
  <c r="I94" i="34"/>
  <c r="J93" i="34"/>
  <c r="I93" i="34"/>
  <c r="J92" i="34"/>
  <c r="I92" i="34"/>
  <c r="J91" i="34"/>
  <c r="I91" i="34"/>
  <c r="J90" i="34"/>
  <c r="I90" i="34"/>
  <c r="J89" i="34"/>
  <c r="I89" i="34"/>
  <c r="J88" i="34"/>
  <c r="I88" i="34"/>
  <c r="J87" i="34"/>
  <c r="I87" i="34"/>
  <c r="J86" i="34"/>
  <c r="I86" i="34"/>
  <c r="J85" i="34"/>
  <c r="I85" i="34"/>
  <c r="J84" i="34"/>
  <c r="I84" i="34"/>
  <c r="J83" i="34"/>
  <c r="I83" i="34"/>
  <c r="J82" i="34"/>
  <c r="I82" i="34"/>
  <c r="J81" i="34"/>
  <c r="I81" i="34"/>
  <c r="J80" i="34"/>
  <c r="I80" i="34"/>
  <c r="J79" i="34"/>
  <c r="I79" i="34"/>
  <c r="J78" i="34"/>
  <c r="I78" i="34"/>
  <c r="J77" i="34"/>
  <c r="I77" i="34"/>
  <c r="J76" i="34"/>
  <c r="I76" i="34"/>
  <c r="J75" i="34"/>
  <c r="I75" i="34"/>
  <c r="J74" i="34"/>
  <c r="I74" i="34"/>
  <c r="J73" i="34"/>
  <c r="I73" i="34"/>
  <c r="J72" i="34"/>
  <c r="I72" i="34"/>
  <c r="J71" i="34"/>
  <c r="I71" i="34"/>
  <c r="J70" i="34"/>
  <c r="I70" i="34"/>
  <c r="J69" i="34"/>
  <c r="I69" i="34"/>
  <c r="J68" i="34"/>
  <c r="I68" i="34"/>
  <c r="J67" i="34"/>
  <c r="I67" i="34"/>
  <c r="J66" i="34"/>
  <c r="I66" i="34"/>
  <c r="J65" i="34"/>
  <c r="I65" i="34"/>
  <c r="J64" i="34"/>
  <c r="I64" i="34"/>
  <c r="J63" i="34"/>
  <c r="I63" i="34"/>
  <c r="J62" i="34"/>
  <c r="I62" i="34"/>
  <c r="J61" i="34"/>
  <c r="I61" i="34"/>
  <c r="J60" i="34"/>
  <c r="I60" i="34"/>
  <c r="J59" i="34"/>
  <c r="I59" i="34"/>
  <c r="J58" i="34"/>
  <c r="I58" i="34"/>
  <c r="J57" i="34"/>
  <c r="I57" i="34"/>
  <c r="J56" i="34"/>
  <c r="I56" i="34"/>
  <c r="J55" i="34"/>
  <c r="I55" i="34"/>
  <c r="J54" i="34"/>
  <c r="I54" i="34"/>
  <c r="J53" i="34"/>
  <c r="I53" i="34"/>
  <c r="J52" i="34"/>
  <c r="I52" i="34"/>
  <c r="J51" i="34"/>
  <c r="I51" i="34"/>
  <c r="J50" i="34"/>
  <c r="I50" i="34"/>
  <c r="J49" i="34"/>
  <c r="I49" i="34"/>
  <c r="J48" i="34"/>
  <c r="I48" i="34"/>
  <c r="J47" i="34"/>
  <c r="I47" i="34"/>
  <c r="J46" i="34"/>
  <c r="I46" i="34"/>
  <c r="J45" i="34"/>
  <c r="I45" i="34"/>
  <c r="J44" i="34"/>
  <c r="I44" i="34"/>
  <c r="J43" i="34"/>
  <c r="I43" i="34"/>
  <c r="J42" i="34"/>
  <c r="I42" i="34"/>
  <c r="J41" i="34"/>
  <c r="I41" i="34"/>
  <c r="J40" i="34"/>
  <c r="I40" i="34"/>
  <c r="J39" i="34"/>
  <c r="I39" i="34"/>
  <c r="J38" i="34"/>
  <c r="I38" i="34"/>
  <c r="J37" i="34"/>
  <c r="I37" i="34"/>
  <c r="J36" i="34"/>
  <c r="I36" i="34"/>
  <c r="J35" i="34"/>
  <c r="I35" i="34"/>
  <c r="J34" i="34"/>
  <c r="I34" i="34"/>
  <c r="J33" i="34"/>
  <c r="I33" i="34"/>
  <c r="J32" i="34"/>
  <c r="I32" i="34"/>
  <c r="J31" i="34"/>
  <c r="I31" i="34"/>
  <c r="J30" i="34"/>
  <c r="I30" i="34"/>
  <c r="J29" i="34"/>
  <c r="I29" i="34"/>
  <c r="J28" i="34"/>
  <c r="I28" i="34"/>
  <c r="J27" i="34"/>
  <c r="I27" i="34"/>
  <c r="J26" i="34"/>
  <c r="I26" i="34"/>
  <c r="J25" i="34"/>
  <c r="I25" i="34"/>
  <c r="J24" i="34"/>
  <c r="I24" i="34"/>
  <c r="J23" i="34"/>
  <c r="I23" i="34"/>
  <c r="J22" i="34"/>
  <c r="I22" i="34"/>
  <c r="J21" i="34"/>
  <c r="I21" i="34"/>
  <c r="J20" i="34"/>
  <c r="I20" i="34"/>
  <c r="J19" i="34"/>
  <c r="I19" i="34"/>
  <c r="J18" i="34"/>
  <c r="I18" i="34"/>
  <c r="J17" i="34"/>
  <c r="I17" i="34"/>
  <c r="J16" i="34"/>
  <c r="I16" i="34"/>
  <c r="J15" i="34"/>
  <c r="I15" i="34"/>
  <c r="J14" i="34"/>
  <c r="I14" i="34"/>
  <c r="J13" i="34"/>
  <c r="I13" i="34"/>
  <c r="J12" i="34"/>
  <c r="I12" i="34"/>
  <c r="J11" i="34"/>
  <c r="I11" i="34"/>
  <c r="J10" i="34" l="1"/>
  <c r="I10" i="34"/>
  <c r="J9" i="34"/>
  <c r="I9" i="34"/>
  <c r="J8" i="34"/>
  <c r="I8" i="34"/>
  <c r="J7" i="34"/>
  <c r="I7" i="34"/>
  <c r="J6" i="34"/>
  <c r="I6" i="34"/>
  <c r="J5" i="34"/>
  <c r="I5" i="34"/>
  <c r="C10" i="27" l="1"/>
  <c r="B10" i="27"/>
  <c r="D10" i="27" l="1"/>
  <c r="M2" i="28"/>
  <c r="E9" i="28" l="1"/>
  <c r="D9" i="28"/>
  <c r="M9" i="28" a="1"/>
  <c r="M9" i="28" s="1"/>
  <c r="F9" i="28" a="1"/>
  <c r="F9" i="28" s="1"/>
  <c r="G9" i="28" l="1" a="1"/>
  <c r="G9" i="28" s="1"/>
  <c r="H9" i="28" s="1"/>
  <c r="J9" i="28" a="1"/>
  <c r="J9" i="28" s="1"/>
  <c r="K9" i="28" a="1"/>
  <c r="K9" i="28" s="1"/>
  <c r="L9" i="28" s="1"/>
  <c r="I9" i="28" a="1"/>
  <c r="I9" i="28" s="1"/>
  <c r="E11" i="28"/>
  <c r="F10" i="28" a="1"/>
  <c r="F10" i="28" s="1"/>
  <c r="M12" i="28" a="1"/>
  <c r="M12" i="28" s="1"/>
  <c r="F12" i="28" a="1"/>
  <c r="F12" i="28" s="1"/>
  <c r="M10" i="28" a="1"/>
  <c r="M10" i="28" s="1"/>
  <c r="E10" i="28"/>
  <c r="D11" i="28"/>
  <c r="F11" i="28" a="1"/>
  <c r="F11" i="28" s="1"/>
  <c r="I11" i="28" s="1" a="1"/>
  <c r="I11" i="28" s="1"/>
  <c r="E12" i="28"/>
  <c r="D12" i="28"/>
  <c r="M11" i="28" a="1"/>
  <c r="M11" i="28" s="1"/>
  <c r="D10" i="28"/>
  <c r="K10" i="28" l="1" a="1"/>
  <c r="K10" i="28" s="1"/>
  <c r="L10" i="28" s="1"/>
  <c r="J10" i="28" a="1"/>
  <c r="J10" i="28" s="1"/>
  <c r="I10" i="28" a="1"/>
  <c r="I10" i="28" s="1"/>
  <c r="J12" i="28" a="1"/>
  <c r="J12" i="28" s="1"/>
  <c r="K12" i="28" a="1"/>
  <c r="K12" i="28" s="1"/>
  <c r="L12" i="28" s="1"/>
  <c r="G12" i="28" a="1"/>
  <c r="G12" i="28" s="1"/>
  <c r="H12" i="28" s="1"/>
  <c r="G10" i="28" a="1"/>
  <c r="G10" i="28" s="1"/>
  <c r="H10" i="28" s="1"/>
  <c r="J11" i="28" a="1"/>
  <c r="J11" i="28" s="1"/>
  <c r="I12" i="28" a="1"/>
  <c r="I12" i="28" s="1"/>
  <c r="K11" i="28" a="1"/>
  <c r="K11" i="28" s="1"/>
  <c r="L11" i="28" s="1"/>
  <c r="G11" i="28" a="1"/>
  <c r="G11" i="28" s="1"/>
  <c r="H11" i="28" s="1"/>
  <c r="F14" i="28" a="1"/>
  <c r="F14" i="28" s="1"/>
  <c r="F13" i="28" a="1"/>
  <c r="F13" i="28"/>
  <c r="E14" i="28"/>
  <c r="M14" i="28" a="1"/>
  <c r="M14" i="28" s="1"/>
  <c r="M13" i="28" a="1"/>
  <c r="M13" i="28" s="1"/>
  <c r="D13" i="28"/>
  <c r="D14" i="28"/>
  <c r="E13" i="28"/>
  <c r="F15" i="28" a="1"/>
  <c r="F15" i="28" s="1"/>
  <c r="E15" i="28"/>
  <c r="K15" i="28" a="1"/>
  <c r="K15" i="28" s="1"/>
  <c r="L15" i="28" s="1"/>
  <c r="I15" i="28" a="1"/>
  <c r="I15" i="28" s="1"/>
  <c r="M15" i="28" a="1"/>
  <c r="M15" i="28" s="1"/>
  <c r="D15" i="28"/>
  <c r="E16" i="28"/>
  <c r="E17" i="28"/>
  <c r="D17" i="28"/>
  <c r="D16" i="28"/>
  <c r="D18" i="28"/>
  <c r="M18" i="28" a="1"/>
  <c r="M18" i="28" s="1"/>
  <c r="E19" i="28"/>
  <c r="M16" i="28" a="1"/>
  <c r="M16" i="28" s="1"/>
  <c r="F16" i="28" a="1"/>
  <c r="F16" i="28"/>
  <c r="K16" i="28" s="1" a="1"/>
  <c r="K16" i="28" s="1"/>
  <c r="L16" i="28" s="1"/>
  <c r="G16" i="28" a="1"/>
  <c r="G16" i="28" s="1"/>
  <c r="H16" i="28" s="1"/>
  <c r="F17" i="28" a="1"/>
  <c r="F17" i="28"/>
  <c r="G17" i="28" s="1" a="1"/>
  <c r="G17" i="28" s="1"/>
  <c r="M19" i="28" a="1"/>
  <c r="M19" i="28" s="1"/>
  <c r="M17" i="28" a="1"/>
  <c r="M17" i="28" s="1"/>
  <c r="E18" i="28"/>
  <c r="J16" i="28" a="1"/>
  <c r="J16" i="28" s="1"/>
  <c r="D19" i="28"/>
  <c r="F19" i="28" a="1"/>
  <c r="F19" i="28" s="1"/>
  <c r="F18" i="28" a="1"/>
  <c r="F18" i="28" s="1"/>
  <c r="I18" i="28" a="1"/>
  <c r="I18" i="28" s="1"/>
  <c r="I16" i="28" a="1"/>
  <c r="I16" i="28" s="1"/>
  <c r="F20" i="28" a="1"/>
  <c r="F20" i="28" s="1"/>
  <c r="F21" i="28" a="1"/>
  <c r="F21" i="28" s="1"/>
  <c r="J20" i="28" a="1"/>
  <c r="J20" i="28" s="1"/>
  <c r="K20" i="28" a="1"/>
  <c r="K20" i="28" s="1"/>
  <c r="L20" i="28" s="1"/>
  <c r="E21" i="28"/>
  <c r="M21" i="28" a="1"/>
  <c r="M21" i="28" s="1"/>
  <c r="D21" i="28"/>
  <c r="M20" i="28" a="1"/>
  <c r="M20" i="28" s="1"/>
  <c r="E20" i="28"/>
  <c r="D20" i="28"/>
  <c r="E22" i="28"/>
  <c r="E23" i="28"/>
  <c r="F22" i="28" a="1"/>
  <c r="F22" i="28"/>
  <c r="F23" i="28" a="1"/>
  <c r="F23" i="28"/>
  <c r="G23" i="28" a="1"/>
  <c r="G23" i="28" s="1"/>
  <c r="M24" i="28" a="1"/>
  <c r="M24" i="28" s="1"/>
  <c r="M22" i="28" a="1"/>
  <c r="M22" i="28" s="1"/>
  <c r="K23" i="28" a="1"/>
  <c r="K23" i="28" s="1"/>
  <c r="L23" i="28" s="1"/>
  <c r="D24" i="28"/>
  <c r="D23" i="28"/>
  <c r="E24" i="28"/>
  <c r="M23" i="28" a="1"/>
  <c r="M23" i="28" s="1"/>
  <c r="D22" i="28"/>
  <c r="F24" i="28" a="1"/>
  <c r="F24" i="28" s="1"/>
  <c r="K22" i="28" a="1"/>
  <c r="K22" i="28" s="1"/>
  <c r="L22" i="28" s="1"/>
  <c r="F25" i="28" a="1"/>
  <c r="F25" i="28" s="1"/>
  <c r="G25" i="28" a="1"/>
  <c r="G25" i="28" s="1"/>
  <c r="F26" i="28" a="1"/>
  <c r="F26" i="28" s="1"/>
  <c r="K26" i="28" s="1" a="1"/>
  <c r="K26" i="28" s="1"/>
  <c r="L26" i="28" s="1"/>
  <c r="I26" i="28" a="1"/>
  <c r="I26" i="28" s="1"/>
  <c r="E25" i="28"/>
  <c r="M26" i="28" a="1"/>
  <c r="M26" i="28" s="1"/>
  <c r="G26" i="28" a="1"/>
  <c r="G26" i="28" s="1"/>
  <c r="E26" i="28"/>
  <c r="D25" i="28"/>
  <c r="D26" i="28"/>
  <c r="M25" i="28" a="1"/>
  <c r="M25" i="28" s="1"/>
  <c r="D27" i="28"/>
  <c r="D28" i="28"/>
  <c r="D29" i="28"/>
  <c r="E27" i="28"/>
  <c r="F29" i="28" a="1"/>
  <c r="F29" i="28" s="1"/>
  <c r="H29" i="28" s="1"/>
  <c r="J29" i="28" a="1"/>
  <c r="J29" i="28" s="1"/>
  <c r="E30" i="28"/>
  <c r="F28" i="28" a="1"/>
  <c r="F28" i="28"/>
  <c r="H28" i="28"/>
  <c r="F27" i="28" a="1"/>
  <c r="F27" i="28" s="1"/>
  <c r="M29" i="28" a="1"/>
  <c r="M29" i="28" s="1"/>
  <c r="M30" i="28" a="1"/>
  <c r="M30" i="28" s="1"/>
  <c r="M27" i="28" a="1"/>
  <c r="M27" i="28" s="1"/>
  <c r="E28" i="28"/>
  <c r="D30" i="28"/>
  <c r="E29" i="28"/>
  <c r="M28" i="28" a="1"/>
  <c r="M28" i="28" s="1"/>
  <c r="F30" i="28" a="1"/>
  <c r="F30" i="28" s="1"/>
  <c r="G29" i="28" a="1"/>
  <c r="G29" i="28" s="1"/>
  <c r="K29" i="28" a="1"/>
  <c r="K29" i="28" s="1"/>
  <c r="L29" i="28" s="1"/>
  <c r="I29" i="28" a="1"/>
  <c r="I29" i="28" s="1"/>
  <c r="F31" i="28" a="1"/>
  <c r="F31" i="28" s="1"/>
  <c r="I31" i="28" s="1" a="1"/>
  <c r="I31" i="28" s="1"/>
  <c r="J31" i="28" a="1"/>
  <c r="J31" i="28" s="1"/>
  <c r="H31" i="28"/>
  <c r="F32" i="28" a="1"/>
  <c r="F32" i="28"/>
  <c r="K32" i="28" s="1" a="1"/>
  <c r="K32" i="28" s="1"/>
  <c r="L32" i="28" s="1"/>
  <c r="G32" i="28" a="1"/>
  <c r="G32" i="28" s="1"/>
  <c r="M32" i="28" a="1"/>
  <c r="M32" i="28" s="1"/>
  <c r="D31" i="28"/>
  <c r="G31" i="28" a="1"/>
  <c r="G31" i="28" s="1"/>
  <c r="K31" i="28" a="1"/>
  <c r="K31" i="28" s="1"/>
  <c r="L31" i="28" s="1"/>
  <c r="D32" i="28"/>
  <c r="E32" i="28"/>
  <c r="M31" i="28" a="1"/>
  <c r="M31" i="28" s="1"/>
  <c r="E31" i="28"/>
  <c r="D33" i="28"/>
  <c r="E33" i="28"/>
  <c r="F34" i="28" a="1"/>
  <c r="F34" i="28"/>
  <c r="H34" i="28" s="1"/>
  <c r="M34" i="28" a="1"/>
  <c r="M34" i="28" s="1"/>
  <c r="D34" i="28"/>
  <c r="M33" i="28" a="1"/>
  <c r="M33" i="28" s="1"/>
  <c r="E34" i="28"/>
  <c r="F33" i="28" a="1"/>
  <c r="F33" i="28" s="1"/>
  <c r="K33" i="28" s="1" a="1"/>
  <c r="K33" i="28" s="1"/>
  <c r="L33" i="28" s="1"/>
  <c r="G34" i="28" a="1"/>
  <c r="G34" i="28" s="1"/>
  <c r="K34" i="28" a="1"/>
  <c r="K34" i="28" s="1"/>
  <c r="L34" i="28" s="1"/>
  <c r="G33" i="28" a="1"/>
  <c r="G33" i="28" s="1"/>
  <c r="I33" i="28" a="1"/>
  <c r="I33" i="28" s="1"/>
  <c r="F35" i="28" a="1"/>
  <c r="F35" i="28" s="1"/>
  <c r="I35" i="28" s="1" a="1"/>
  <c r="I35" i="28" s="1"/>
  <c r="J35" i="28" a="1"/>
  <c r="J35" i="28" s="1"/>
  <c r="F36" i="28" a="1"/>
  <c r="F36" i="28" s="1"/>
  <c r="J36" i="28" s="1" a="1"/>
  <c r="J36" i="28" s="1"/>
  <c r="K36" i="28" a="1"/>
  <c r="K36" i="28" s="1"/>
  <c r="L36" i="28" s="1"/>
  <c r="H35" i="28"/>
  <c r="G36" i="28" a="1"/>
  <c r="G36" i="28" s="1"/>
  <c r="E36" i="28"/>
  <c r="M35" i="28" a="1"/>
  <c r="M35" i="28" s="1"/>
  <c r="F37" i="28" a="1"/>
  <c r="F37" i="28" s="1"/>
  <c r="M36" i="28" a="1"/>
  <c r="M36" i="28" s="1"/>
  <c r="D37" i="28"/>
  <c r="M37" i="28" a="1"/>
  <c r="M37" i="28" s="1"/>
  <c r="D35" i="28"/>
  <c r="D36" i="28"/>
  <c r="E37" i="28"/>
  <c r="E35" i="28"/>
  <c r="E38" i="28"/>
  <c r="F38" i="28" a="1"/>
  <c r="F38" i="28"/>
  <c r="M38" i="28" a="1"/>
  <c r="M38" i="28" s="1"/>
  <c r="M39" i="28" a="1"/>
  <c r="M39" i="28" s="1"/>
  <c r="E39" i="28"/>
  <c r="F39" i="28" a="1"/>
  <c r="F39" i="28"/>
  <c r="H39" i="28" s="1"/>
  <c r="K39" i="28" a="1"/>
  <c r="K39" i="28" s="1"/>
  <c r="L39" i="28" s="1"/>
  <c r="D39" i="28"/>
  <c r="D38" i="28"/>
  <c r="J39" i="28" a="1"/>
  <c r="J39" i="28" s="1"/>
  <c r="I39" i="28" a="1"/>
  <c r="I39" i="28" s="1"/>
  <c r="F40" i="28" a="1"/>
  <c r="F40" i="28" s="1"/>
  <c r="M40" i="28" a="1"/>
  <c r="M40" i="28" s="1"/>
  <c r="K40" i="28" a="1"/>
  <c r="K40" i="28" s="1"/>
  <c r="L40" i="28" s="1"/>
  <c r="E40" i="28"/>
  <c r="D40" i="28"/>
  <c r="M41" i="28" a="1"/>
  <c r="M41" i="28" s="1"/>
  <c r="F41" i="28" a="1"/>
  <c r="F41" i="28" s="1"/>
  <c r="H41" i="28" s="1"/>
  <c r="E41" i="28"/>
  <c r="D41" i="28"/>
  <c r="K41" i="28" a="1"/>
  <c r="K41" i="28" s="1"/>
  <c r="L41" i="28" s="1"/>
  <c r="F42" i="28" a="1"/>
  <c r="F42" i="28" s="1"/>
  <c r="F43" i="28" a="1"/>
  <c r="F43" i="28"/>
  <c r="H43" i="28" s="1"/>
  <c r="E42" i="28"/>
  <c r="J42" i="28" a="1"/>
  <c r="J42" i="28" s="1"/>
  <c r="M43" i="28" a="1"/>
  <c r="M43" i="28" s="1"/>
  <c r="M42" i="28" a="1"/>
  <c r="M42" i="28"/>
  <c r="D42" i="28"/>
  <c r="E43" i="28"/>
  <c r="D43" i="28"/>
  <c r="I42" i="28" l="1" a="1"/>
  <c r="I42" i="28" s="1"/>
  <c r="K42" i="28" a="1"/>
  <c r="K42" i="28" s="1"/>
  <c r="L42" i="28" s="1"/>
  <c r="G42" i="28" a="1"/>
  <c r="G42" i="28" s="1"/>
  <c r="K38" i="28" a="1"/>
  <c r="K38" i="28" s="1"/>
  <c r="L38" i="28" s="1"/>
  <c r="J38" i="28" a="1"/>
  <c r="J38" i="28" s="1"/>
  <c r="G38" i="28" a="1"/>
  <c r="G38" i="28" s="1"/>
  <c r="I38" i="28" a="1"/>
  <c r="I38" i="28" s="1"/>
  <c r="H38" i="28"/>
  <c r="G43" i="28" a="1"/>
  <c r="G43" i="28" s="1"/>
  <c r="G41" i="28" a="1"/>
  <c r="G41" i="28" s="1"/>
  <c r="K30" i="28" a="1"/>
  <c r="K30" i="28" s="1"/>
  <c r="L30" i="28" s="1"/>
  <c r="G30" i="28" a="1"/>
  <c r="G30" i="28" s="1"/>
  <c r="H30" i="28"/>
  <c r="I30" i="28" a="1"/>
  <c r="I30" i="28" s="1"/>
  <c r="J30" i="28" a="1"/>
  <c r="J30" i="28" s="1"/>
  <c r="J43" i="28" a="1"/>
  <c r="J43" i="28" s="1"/>
  <c r="I43" i="28" a="1"/>
  <c r="I43" i="28" s="1"/>
  <c r="H42" i="28"/>
  <c r="I41" i="28" a="1"/>
  <c r="I41" i="28" s="1"/>
  <c r="K37" i="28" a="1"/>
  <c r="K37" i="28" s="1"/>
  <c r="L37" i="28" s="1"/>
  <c r="I37" i="28" a="1"/>
  <c r="I37" i="28" s="1"/>
  <c r="H37" i="28"/>
  <c r="J37" i="28" a="1"/>
  <c r="J37" i="28" s="1"/>
  <c r="G37" i="28" a="1"/>
  <c r="G37" i="28" s="1"/>
  <c r="H27" i="28"/>
  <c r="I27" i="28" a="1"/>
  <c r="I27" i="28" s="1"/>
  <c r="G27" i="28" a="1"/>
  <c r="G27" i="28" s="1"/>
  <c r="K27" i="28" a="1"/>
  <c r="K27" i="28" s="1"/>
  <c r="L27" i="28" s="1"/>
  <c r="J27" i="28" a="1"/>
  <c r="J27" i="28" s="1"/>
  <c r="G24" i="28" a="1"/>
  <c r="G24" i="28" s="1"/>
  <c r="H24" i="28" s="1"/>
  <c r="K24" i="28" a="1"/>
  <c r="K24" i="28" s="1"/>
  <c r="L24" i="28" s="1"/>
  <c r="I24" i="28" a="1"/>
  <c r="I24" i="28" s="1"/>
  <c r="J24" i="28" a="1"/>
  <c r="J24" i="28" s="1"/>
  <c r="K43" i="28" a="1"/>
  <c r="K43" i="28" s="1"/>
  <c r="L43" i="28" s="1"/>
  <c r="J41" i="28" a="1"/>
  <c r="J41" i="28" s="1"/>
  <c r="I40" i="28" a="1"/>
  <c r="I40" i="28" s="1"/>
  <c r="G40" i="28" a="1"/>
  <c r="G40" i="28" s="1"/>
  <c r="J28" i="28" a="1"/>
  <c r="J28" i="28" s="1"/>
  <c r="K28" i="28" a="1"/>
  <c r="K28" i="28" s="1"/>
  <c r="L28" i="28" s="1"/>
  <c r="G22" i="28" a="1"/>
  <c r="G22" i="28" s="1"/>
  <c r="H22" i="28" s="1"/>
  <c r="I22" i="28" a="1"/>
  <c r="I22" i="28" s="1"/>
  <c r="K19" i="28" a="1"/>
  <c r="K19" i="28" s="1"/>
  <c r="L19" i="28" s="1"/>
  <c r="J14" i="28" a="1"/>
  <c r="J14" i="28" s="1"/>
  <c r="G14" i="28" a="1"/>
  <c r="G14" i="28" s="1"/>
  <c r="H14" i="28" s="1"/>
  <c r="I14" i="28" a="1"/>
  <c r="I14" i="28" s="1"/>
  <c r="H40" i="28"/>
  <c r="G39" i="28" a="1"/>
  <c r="G39" i="28" s="1"/>
  <c r="J34" i="28" a="1"/>
  <c r="J34" i="28" s="1"/>
  <c r="I34" i="28" a="1"/>
  <c r="I34" i="28" s="1"/>
  <c r="J32" i="28" a="1"/>
  <c r="J32" i="28" s="1"/>
  <c r="H32" i="28"/>
  <c r="I25" i="28" a="1"/>
  <c r="I25" i="28" s="1"/>
  <c r="H25" i="28"/>
  <c r="K25" i="28" a="1"/>
  <c r="K25" i="28" s="1"/>
  <c r="L25" i="28" s="1"/>
  <c r="J25" i="28" a="1"/>
  <c r="J25" i="28" s="1"/>
  <c r="J23" i="28" a="1"/>
  <c r="J23" i="28" s="1"/>
  <c r="I23" i="28" a="1"/>
  <c r="I23" i="28" s="1"/>
  <c r="H23" i="28"/>
  <c r="K21" i="28" a="1"/>
  <c r="K21" i="28" s="1"/>
  <c r="L21" i="28" s="1"/>
  <c r="G20" i="28" a="1"/>
  <c r="G20" i="28" s="1"/>
  <c r="H20" i="28" s="1"/>
  <c r="I20" i="28" a="1"/>
  <c r="I20" i="28" s="1"/>
  <c r="I17" i="28" a="1"/>
  <c r="I17" i="28" s="1"/>
  <c r="K14" i="28" a="1"/>
  <c r="K14" i="28" s="1"/>
  <c r="L14" i="28" s="1"/>
  <c r="H33" i="28"/>
  <c r="J33" i="28" a="1"/>
  <c r="J33" i="28" s="1"/>
  <c r="J19" i="28" a="1"/>
  <c r="J19" i="28" s="1"/>
  <c r="J17" i="28" a="1"/>
  <c r="J17" i="28" s="1"/>
  <c r="H17" i="28"/>
  <c r="K17" i="28" a="1"/>
  <c r="K17" i="28" s="1"/>
  <c r="L17" i="28" s="1"/>
  <c r="G13" i="28" a="1"/>
  <c r="G13" i="28" s="1"/>
  <c r="H13" i="28" s="1"/>
  <c r="K13" i="28" a="1"/>
  <c r="K13" i="28" s="1"/>
  <c r="L13" i="28" s="1"/>
  <c r="J13" i="28" a="1"/>
  <c r="J13" i="28" s="1"/>
  <c r="J40" i="28" a="1"/>
  <c r="J40" i="28" s="1"/>
  <c r="I36" i="28" a="1"/>
  <c r="I36" i="28" s="1"/>
  <c r="H36" i="28"/>
  <c r="G35" i="28" a="1"/>
  <c r="G35" i="28" s="1"/>
  <c r="K35" i="28" a="1"/>
  <c r="K35" i="28" s="1"/>
  <c r="L35" i="28" s="1"/>
  <c r="I32" i="28" a="1"/>
  <c r="I32" i="28" s="1"/>
  <c r="G28" i="28" a="1"/>
  <c r="G28" i="28" s="1"/>
  <c r="I28" i="28" a="1"/>
  <c r="I28" i="28" s="1"/>
  <c r="J26" i="28" a="1"/>
  <c r="J26" i="28" s="1"/>
  <c r="H26" i="28"/>
  <c r="J22" i="28" a="1"/>
  <c r="J22" i="28" s="1"/>
  <c r="J21" i="28" a="1"/>
  <c r="J21" i="28" s="1"/>
  <c r="I21" i="28" a="1"/>
  <c r="I21" i="28" s="1"/>
  <c r="G21" i="28" a="1"/>
  <c r="G21" i="28" s="1"/>
  <c r="H21" i="28" s="1"/>
  <c r="G19" i="28" a="1"/>
  <c r="G19" i="28" s="1"/>
  <c r="H19" i="28" s="1"/>
  <c r="J18" i="28" a="1"/>
  <c r="J18" i="28" s="1"/>
  <c r="K18" i="28" a="1"/>
  <c r="K18" i="28" s="1"/>
  <c r="L18" i="28" s="1"/>
  <c r="G18" i="28" a="1"/>
  <c r="G18" i="28" s="1"/>
  <c r="H18" i="28" s="1"/>
  <c r="I19" i="28" a="1"/>
  <c r="I19" i="28" s="1"/>
  <c r="J15" i="28" a="1"/>
  <c r="J15" i="28" s="1"/>
  <c r="G15" i="28" a="1"/>
  <c r="G15" i="28" s="1"/>
  <c r="H15" i="28" s="1"/>
  <c r="I13" i="28" a="1"/>
  <c r="I13" i="28" s="1"/>
</calcChain>
</file>

<file path=xl/comments1.xml><?xml version="1.0" encoding="utf-8"?>
<comments xmlns="http://schemas.openxmlformats.org/spreadsheetml/2006/main">
  <authors>
    <author>Aubin, Duane G /JC</author>
  </authors>
  <commentList>
    <comment ref="C8" authorId="0">
      <text>
        <r>
          <rPr>
            <sz val="20"/>
            <color indexed="81"/>
            <rFont val="Tahoma"/>
            <family val="2"/>
          </rPr>
          <t>=IFERROR(INDEX(TrackinstallationAllShovels,MATCH(0,INDEX(COUNTIF('Front Page'!C$8:INDIRECT("C"&amp;ROW()-1),TrackinstallationAllShovels),0,0),0)),"")</t>
        </r>
      </text>
    </comment>
    <comment ref="F8" authorId="0">
      <text>
        <r>
          <rPr>
            <sz val="9"/>
            <color indexed="81"/>
            <rFont val="Tahoma"/>
            <family val="2"/>
          </rPr>
          <t>=IF(INDEX($C$1:$C$22,ROW(),1)="","",INDEX(Control!$C$5:$C$604,MATCH(INDEX($C$1:$C$22,ROW(),1),Control!B$5:B$26,FALSE),1))</t>
        </r>
      </text>
    </comment>
    <comment ref="H8" authorId="0">
      <text>
        <r>
          <rPr>
            <sz val="9"/>
            <color indexed="81"/>
            <rFont val="Tahoma"/>
            <family val="2"/>
          </rPr>
          <t>=IF(INDEX($D$1:$D$22,ROW(),1)="","",(DATE(YEAR(INDEX($D$1:$D$22,ROW(),1))+3,MONTH(INDEX($D$1:$D$22,ROW(),1))+1,DAY(0))-DATE(YEAR(TODAY()),MONTH(TODAY())+1,DAY(0)))/30)</t>
        </r>
      </text>
    </comment>
    <comment ref="I8" authorId="0">
      <text>
        <r>
          <rPr>
            <sz val="9"/>
            <color indexed="81"/>
            <rFont val="Tahoma"/>
            <family val="2"/>
          </rPr>
          <t>Array Formula
=IF($C8="","",IFERROR(INDEX(Hours!$H$5:$H$604,MATCH(1,(Hours!$C$5:$C$604='Front Page'!$C8)*(Hours!$B$5:$B$604=MAX(IF(Hours!$C$5:$C$604='Front Page'!$C8,Hours!$B$5:$B$604))),0)),""))</t>
        </r>
      </text>
    </comment>
    <comment ref="J8" authorId="0">
      <text>
        <r>
          <rPr>
            <sz val="9"/>
            <color indexed="81"/>
            <rFont val="Tahoma"/>
            <family val="2"/>
          </rPr>
          <t>Array Formula
=IF($C8="","",IFERROR(INDEX(Hours!$H$5:$H$604,MATCH(1,(Hours!$C$5:$C$604='Front Page'!$C8)*(Hours!$B$5:$B$604=MAX(IF(Hours!$C$5:$C$604='Front Page'!$C8,Hours!$B$5:$B$604))),0)),""))</t>
        </r>
      </text>
    </comment>
    <comment ref="K8" authorId="0">
      <text>
        <r>
          <rPr>
            <sz val="9"/>
            <color indexed="81"/>
            <rFont val="Tahoma"/>
            <family val="2"/>
          </rPr>
          <t>Array formula
=IF($C8="","",IFERROR(INDEX(Hours!$G$5:$G$604,MATCH(1,(Hours!$C$5:$C$604='Front Page'!$C8)*(Hours!$B$5:$B$604=MAX(IF(Hours!$C$5:$C$604='Front Page'!$C8,Hours!$B$5:$B$604))),0)),""))</t>
        </r>
      </text>
    </comment>
    <comment ref="M8" authorId="0">
      <text>
        <r>
          <rPr>
            <sz val="9"/>
            <color indexed="81"/>
            <rFont val="Tahoma"/>
            <family val="2"/>
          </rPr>
          <t>Array ("CSE") formula
=IF($C12="","",IFERROR(INDEX(Hours!N:N,MATCH(1,(Hours!C:C='Front Page'!$C12)*(Hours!B:B=MAX(IF(Hours!C:C='Front Page'!$C12,Hours!B:B))),0)),""))</t>
        </r>
      </text>
    </comment>
  </commentList>
</comments>
</file>

<file path=xl/comments2.xml><?xml version="1.0" encoding="utf-8"?>
<comments xmlns="http://schemas.openxmlformats.org/spreadsheetml/2006/main">
  <authors>
    <author>Aubin, Duane G /JC</author>
  </authors>
  <commentList>
    <comment ref="D4" authorId="0">
      <text>
        <r>
          <rPr>
            <b/>
            <sz val="9"/>
            <color indexed="81"/>
            <rFont val="Tahoma"/>
            <family val="2"/>
          </rPr>
          <t>Aubin, Duane G /JC:</t>
        </r>
        <r>
          <rPr>
            <sz val="9"/>
            <color indexed="81"/>
            <rFont val="Tahoma"/>
            <family val="2"/>
          </rPr>
          <t xml:space="preserve">
- had used this formula before recommendation to just enter hours manually
=IFERROR(INDEX('H:\Sync\Projects\Hugh Roth\Shovel Track Pad Condition\[SMU and Propel Hrs only.xlsm]2005 and On'!$A$1:$IV$65536,MATCH($B5,'H:\Sync\Projects\Hugh Roth\Shovel Track Pad Condition\[SMU and Propel Hrs only.xlsm]2005 and On'!$A$1:$A$65536,FALSE),MATCH($C5,'H:\Sync\Projects\Hugh Roth\Shovel Track Pad Condition\[SMU and Propel Hrs only.xlsm]2005 and On'!$A$2:$IV$2,FALSE)),"")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Aubin, Duane G /JC:</t>
        </r>
        <r>
          <rPr>
            <sz val="9"/>
            <color indexed="81"/>
            <rFont val="Tahoma"/>
            <family val="2"/>
          </rPr>
          <t xml:space="preserve">
- has used this formula before recommendation to just enter hours manually
=IFERROR(INDEX('H:\Sync\Projects\Hugh Roth\Shovel Track Pad Condition\[SMU and Propel Hrs only.xlsm]2005 and On'!$A$1:$IV$65536,MATCH($B5,'H:\Sync\Projects\Hugh Roth\Shovel Track Pad Condition\[SMU and Propel Hrs only.xlsm]2005 and On'!$A$1:$A$65536,FALSE),MATCH($C5,'H:\Sync\Projects\Hugh Roth\Shovel Track Pad Condition\[SMU and Propel Hrs only.xlsm]2005 and On'!$A$2:$IV$2,FALSE)+3),"")</t>
        </r>
      </text>
    </comment>
    <comment ref="F4" authorId="0">
      <text>
        <r>
          <rPr>
            <b/>
            <sz val="9"/>
            <color indexed="81"/>
            <rFont val="Tahoma"/>
            <family val="2"/>
          </rPr>
          <t>Aubin, Duane G /JC:</t>
        </r>
        <r>
          <rPr>
            <sz val="9"/>
            <color indexed="81"/>
            <rFont val="Tahoma"/>
            <family val="2"/>
          </rPr>
          <t xml:space="preserve">
This formula
=IF(INDEX(D:D,ROW(),1)="","",INDEX(D:D,ROW(),1)-INDEX('Track Installation'!G$5:G$56,MATCH(INDEX(C:C,ROW(),1),'Track Installation'!D$5:D$56,FALSE)))
was used when the Track Installation List only overwrote the most recent Installation info.</t>
        </r>
      </text>
    </comment>
  </commentList>
</comments>
</file>

<file path=xl/comments3.xml><?xml version="1.0" encoding="utf-8"?>
<comments xmlns="http://schemas.openxmlformats.org/spreadsheetml/2006/main">
  <authors>
    <author>Aubin, Duane G /JC</author>
  </authors>
  <commentList>
    <comment ref="B4" authorId="0">
      <text>
        <r>
          <rPr>
            <sz val="9"/>
            <color indexed="81"/>
            <rFont val="Tahoma"/>
            <family val="2"/>
          </rPr>
          <t xml:space="preserve">Please enter date using format yyyy/mm/dd. 
Eg. for January 15, 2015, enter 2015/01/15. </t>
        </r>
      </text>
    </comment>
  </commentList>
</comments>
</file>

<file path=xl/comments4.xml><?xml version="1.0" encoding="utf-8"?>
<comments xmlns="http://schemas.openxmlformats.org/spreadsheetml/2006/main">
  <authors>
    <author>Aubin, Duane G /JC</author>
  </authors>
  <commentList>
    <comment ref="B4" authorId="0">
      <text>
        <r>
          <rPr>
            <sz val="9"/>
            <color indexed="81"/>
            <rFont val="Tahoma"/>
            <family val="2"/>
          </rPr>
          <t>Please enter date using format yyyy/mm/dd. 
Eg., for January 15, 2015, enter 2015/01/15. Thanks.</t>
        </r>
      </text>
    </comment>
  </commentList>
</comments>
</file>

<file path=xl/sharedStrings.xml><?xml version="1.0" encoding="utf-8"?>
<sst xmlns="http://schemas.openxmlformats.org/spreadsheetml/2006/main" count="271" uniqueCount="107">
  <si>
    <t>Date</t>
  </si>
  <si>
    <t>Owners</t>
  </si>
  <si>
    <t>Developers</t>
  </si>
  <si>
    <t>Number of revisions</t>
  </si>
  <si>
    <t>Latest Revision</t>
  </si>
  <si>
    <t>Latest Revision Particulars</t>
  </si>
  <si>
    <t>Version</t>
  </si>
  <si>
    <t>Revision notes</t>
  </si>
  <si>
    <t>A) Initial layout</t>
  </si>
  <si>
    <t>Shovel</t>
  </si>
  <si>
    <t>Shovels</t>
  </si>
  <si>
    <t>11-79</t>
  </si>
  <si>
    <t>11-89</t>
  </si>
  <si>
    <t>11-38</t>
  </si>
  <si>
    <t>11-90</t>
  </si>
  <si>
    <t>11-86</t>
  </si>
  <si>
    <t>11-80</t>
  </si>
  <si>
    <t>11-87</t>
  </si>
  <si>
    <t>11-91</t>
  </si>
  <si>
    <t>11-100</t>
  </si>
  <si>
    <t>11-78</t>
  </si>
  <si>
    <t>UT1</t>
  </si>
  <si>
    <t>UT2</t>
  </si>
  <si>
    <t>UT3</t>
  </si>
  <si>
    <t>UT4</t>
  </si>
  <si>
    <t>UT5</t>
  </si>
  <si>
    <t>Avg</t>
  </si>
  <si>
    <t>Current Average Thickness</t>
  </si>
  <si>
    <t>Min</t>
  </si>
  <si>
    <t>Propel Hours</t>
  </si>
  <si>
    <t>survey sheet Hugh sent, propel hours from Aurora</t>
  </si>
  <si>
    <t>Have Chris look at it, give feedback</t>
  </si>
  <si>
    <t>SMU current minus SMU installed</t>
  </si>
  <si>
    <t>SMU Hrs
at Install</t>
  </si>
  <si>
    <t>Pad Damage</t>
  </si>
  <si>
    <t>Pad Thickness</t>
  </si>
  <si>
    <t>Hours</t>
  </si>
  <si>
    <t>Propel % of SMU</t>
  </si>
  <si>
    <t>Propel at Install</t>
  </si>
  <si>
    <t>Target Replacement Month</t>
  </si>
  <si>
    <t>Broken Pads</t>
  </si>
  <si>
    <t>SMU Hours (current)</t>
  </si>
  <si>
    <t>SMU
since last installation</t>
  </si>
  <si>
    <t>Propel
since last installation</t>
  </si>
  <si>
    <t>Propel Hours
 (current)</t>
  </si>
  <si>
    <t>Count of Paired Broken Pads</t>
  </si>
  <si>
    <t>Base version ready for live data testing</t>
  </si>
  <si>
    <t>Count of
BROKEN WINGS</t>
  </si>
  <si>
    <t>Count of
CENTRE-BROKEN PADS</t>
  </si>
  <si>
    <t>Track Installation</t>
  </si>
  <si>
    <t>M&amp;IS Shovel Track Pad Condition Sentinel</t>
  </si>
  <si>
    <t>Navigational freshen; mtg with Duncan Rivers spurring next level of development, due 2014-10-15</t>
  </si>
  <si>
    <t>11-39</t>
  </si>
  <si>
    <t>11-40</t>
  </si>
  <si>
    <t>11-81</t>
  </si>
  <si>
    <t>11-83</t>
  </si>
  <si>
    <t>11-84</t>
  </si>
  <si>
    <t>11-85</t>
  </si>
  <si>
    <t>11-88</t>
  </si>
  <si>
    <t>11-92</t>
  </si>
  <si>
    <t>11-93</t>
  </si>
  <si>
    <t>Track Install Date</t>
  </si>
  <si>
    <t>Make</t>
  </si>
  <si>
    <t>Availability</t>
  </si>
  <si>
    <t>BI</t>
  </si>
  <si>
    <t>P&amp;H</t>
  </si>
  <si>
    <t>O&amp;K</t>
  </si>
  <si>
    <t>Site</t>
  </si>
  <si>
    <t>Aurora</t>
  </si>
  <si>
    <t>Hrs/day</t>
  </si>
  <si>
    <t>Mission Run Days</t>
  </si>
  <si>
    <t>Mission Run Months</t>
  </si>
  <si>
    <t>SMU Benchmark Replacement Month</t>
  </si>
  <si>
    <t>Current Track
Install Month</t>
  </si>
  <si>
    <t>Months to SMU Replacement</t>
  </si>
  <si>
    <t>SMU Benchmark</t>
  </si>
  <si>
    <t>Propel BM (7%)</t>
  </si>
  <si>
    <t>Actual Propel Months Remaining</t>
  </si>
  <si>
    <t>Streamlined Front Page factoring requests from v1.95</t>
  </si>
  <si>
    <t>Sites</t>
  </si>
  <si>
    <t>Base Mine</t>
  </si>
  <si>
    <t/>
  </si>
  <si>
    <t>Propel Percent of SMU</t>
  </si>
  <si>
    <t>A) Archival Track Installation functionality building in…
B) Sortable Front Page with refresh programming</t>
  </si>
  <si>
    <t>Foundry</t>
  </si>
  <si>
    <t xml:space="preserve"> </t>
  </si>
  <si>
    <t>SMU
last 30 days</t>
  </si>
  <si>
    <t>Propel last 30 days</t>
  </si>
  <si>
    <t>Propel % of SMU last 30 days</t>
  </si>
  <si>
    <t>A) Front Page Broken Pads column deleted
B) Front Page Propel % of SMU column, express in two ways by toggle
C) Track Installation change "Foundry Number?" to "Foundry"
D) Save to Inspection Data Folder (user can save to any preferred network folder)</t>
  </si>
  <si>
    <t>Propel % of SMU
Track Life</t>
  </si>
  <si>
    <t>Propel % of SMU
Last 30 days</t>
  </si>
  <si>
    <t>Months to Propel replacement</t>
  </si>
  <si>
    <t>Months to Propel Replacement</t>
  </si>
  <si>
    <t>Propel Benchmark Replacement Month</t>
  </si>
  <si>
    <t>Hours VBA code</t>
  </si>
  <si>
    <t>Hours VBA code enhanced (does not take "next previous" reading; looks for closest reading to 30 days prior)</t>
  </si>
  <si>
    <r>
      <rPr>
        <b/>
        <sz val="11"/>
        <color theme="2" tint="-0.749992370372631"/>
        <rFont val="Arial Narrow"/>
        <family val="2"/>
      </rPr>
      <t xml:space="preserve">Duane Aubin, M&amp;IS Forecaster </t>
    </r>
    <r>
      <rPr>
        <sz val="11"/>
        <color theme="2" tint="-0.749992370372631"/>
        <rFont val="Arial Narrow"/>
        <family val="2"/>
      </rPr>
      <t xml:space="preserve"> </t>
    </r>
    <r>
      <rPr>
        <u/>
        <sz val="11"/>
        <color theme="2" tint="-0.749992370372631"/>
        <rFont val="Arial Narrow"/>
        <family val="2"/>
      </rPr>
      <t>aubin.duaneg@syncrude.com</t>
    </r>
  </si>
  <si>
    <r>
      <rPr>
        <b/>
        <sz val="11"/>
        <color theme="2" tint="-0.749992370372631"/>
        <rFont val="Arial Narrow"/>
        <family val="2"/>
      </rPr>
      <t>Hugh Roth, Inspection Engineer</t>
    </r>
    <r>
      <rPr>
        <sz val="11"/>
        <color theme="2" tint="-0.749992370372631"/>
        <rFont val="Arial Narrow"/>
        <family val="2"/>
      </rPr>
      <t xml:space="preserve">  </t>
    </r>
    <r>
      <rPr>
        <u/>
        <sz val="11"/>
        <color theme="2" tint="-0.749992370372631"/>
        <rFont val="Arial Narrow"/>
        <family val="2"/>
      </rPr>
      <t xml:space="preserve">roth.hugh@syncrude.com
</t>
    </r>
    <r>
      <rPr>
        <b/>
        <sz val="11"/>
        <color theme="2" tint="-0.749992370372631"/>
        <rFont val="Arial Narrow"/>
        <family val="2"/>
      </rPr>
      <t xml:space="preserve">Ken Ehry, M&amp;IS Team Lead, Mildred Lake </t>
    </r>
    <r>
      <rPr>
        <sz val="11"/>
        <color theme="2" tint="-0.749992370372631"/>
        <rFont val="Arial Narrow"/>
        <family val="2"/>
      </rPr>
      <t xml:space="preserve"> </t>
    </r>
    <r>
      <rPr>
        <u/>
        <sz val="11"/>
        <color theme="2" tint="-0.749992370372631"/>
        <rFont val="Arial Narrow"/>
        <family val="2"/>
      </rPr>
      <t xml:space="preserve">ehry.ken@syncrude.com
</t>
    </r>
    <r>
      <rPr>
        <b/>
        <sz val="11"/>
        <color theme="2" tint="-0.749992370372631"/>
        <rFont val="Arial Narrow"/>
        <family val="2"/>
      </rPr>
      <t>Brent Campbell, M&amp;IS Team Lead</t>
    </r>
    <r>
      <rPr>
        <sz val="11"/>
        <color theme="2" tint="-0.749992370372631"/>
        <rFont val="Arial Narrow"/>
        <family val="2"/>
      </rPr>
      <t>,</t>
    </r>
    <r>
      <rPr>
        <b/>
        <sz val="11"/>
        <color theme="2" tint="-0.749992370372631"/>
        <rFont val="Arial Narrow"/>
        <family val="2"/>
      </rPr>
      <t xml:space="preserve"> Aurora</t>
    </r>
    <r>
      <rPr>
        <sz val="11"/>
        <color theme="2" tint="-0.749992370372631"/>
        <rFont val="Arial Narrow"/>
        <family val="2"/>
      </rPr>
      <t xml:space="preserve"> </t>
    </r>
    <r>
      <rPr>
        <u/>
        <sz val="11"/>
        <color theme="2" tint="-0.749992370372631"/>
        <rFont val="Arial Narrow"/>
        <family val="2"/>
      </rPr>
      <t xml:space="preserve">campbell.brent@syncrude.com
</t>
    </r>
    <r>
      <rPr>
        <b/>
        <sz val="11"/>
        <color theme="2" tint="-0.749992370372631"/>
        <rFont val="Arial Narrow"/>
        <family val="2"/>
      </rPr>
      <t>Sean Carbery, M&amp;IS Area Lead</t>
    </r>
    <r>
      <rPr>
        <sz val="11"/>
        <color theme="2" tint="-0.749992370372631"/>
        <rFont val="Arial Narrow"/>
        <family val="2"/>
      </rPr>
      <t xml:space="preserve"> </t>
    </r>
    <r>
      <rPr>
        <u/>
        <sz val="11"/>
        <color theme="2" tint="-0.749992370372631"/>
        <rFont val="Arial Narrow"/>
        <family val="2"/>
      </rPr>
      <t>carbery.sean@syncrude.com</t>
    </r>
  </si>
  <si>
    <t>89 shovel measurements entered, providing basis for discussion</t>
  </si>
  <si>
    <t>Pad Thickness Stages</t>
  </si>
  <si>
    <t>Status Configurator</t>
  </si>
  <si>
    <t>Wear</t>
  </si>
  <si>
    <t>Rebuilding thickness wear status conditional formatting</t>
  </si>
  <si>
    <t>mm</t>
  </si>
  <si>
    <t>New</t>
  </si>
  <si>
    <t>Worn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</si>
</sst>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yy;@"/>
    <numFmt numFmtId="165" formatCode="d\-mmm\-yyyy"/>
    <numFmt numFmtId="166" formatCode="0.0%"/>
    <numFmt numFmtId="167" formatCode="0_);\(0\)"/>
    <numFmt numFmtId="168" formatCode="mmm\-yyyy"/>
    <numFmt numFmtId="169" formatCode="0.000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i/>
      <sz val="11"/>
      <color theme="2" tint="-0.749992370372631"/>
      <name val="Arial Narrow"/>
      <family val="2"/>
    </font>
    <font>
      <sz val="11"/>
      <color theme="2" tint="-0.749992370372631"/>
      <name val="Arial Narrow"/>
      <family val="2"/>
    </font>
    <font>
      <b/>
      <sz val="11"/>
      <color theme="2" tint="-0.749992370372631"/>
      <name val="Arial Narrow"/>
      <family val="2"/>
    </font>
    <font>
      <u/>
      <sz val="11"/>
      <color theme="2" tint="-0.749992370372631"/>
      <name val="Arial Narrow"/>
      <family val="2"/>
    </font>
    <font>
      <sz val="11"/>
      <name val="Arial"/>
      <family val="2"/>
    </font>
    <font>
      <sz val="24"/>
      <color theme="2" tint="-0.749992370372631"/>
      <name val="Arial Narrow"/>
      <family val="2"/>
    </font>
    <font>
      <i/>
      <sz val="12"/>
      <color theme="2" tint="-0.749992370372631"/>
      <name val="Arial Narrow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0"/>
      <color indexed="23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8.5"/>
      <color indexed="12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36"/>
      <color theme="4" tint="-0.249977111117893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4"/>
      <name val="Arial"/>
      <family val="2"/>
    </font>
    <font>
      <sz val="14"/>
      <name val="Arial"/>
      <family val="2"/>
    </font>
    <font>
      <sz val="14"/>
      <name val="Bookman Old Style"/>
      <family val="1"/>
    </font>
    <font>
      <sz val="14"/>
      <color rgb="FFFFFF00"/>
      <name val="Bookman Old Style"/>
      <family val="1"/>
    </font>
    <font>
      <sz val="14"/>
      <color theme="0"/>
      <name val="Bookman Old Style"/>
      <family val="1"/>
    </font>
    <font>
      <i/>
      <sz val="12"/>
      <name val="Arial"/>
      <family val="2"/>
    </font>
    <font>
      <sz val="12"/>
      <name val="Bookman Old Style"/>
      <family val="1"/>
    </font>
    <font>
      <sz val="12"/>
      <color theme="0"/>
      <name val="Bookman Old Style"/>
      <family val="1"/>
    </font>
    <font>
      <b/>
      <i/>
      <sz val="10"/>
      <name val="Arial"/>
      <family val="2"/>
    </font>
    <font>
      <sz val="10"/>
      <color theme="0" tint="-0.14999847407452621"/>
      <name val="Arial"/>
      <family val="2"/>
    </font>
    <font>
      <i/>
      <sz val="20"/>
      <color theme="4" tint="0.39997558519241921"/>
      <name val="Bookman Old Style"/>
      <family val="1"/>
    </font>
    <font>
      <i/>
      <sz val="28"/>
      <color theme="4" tint="0.39997558519241921"/>
      <name val="Arial"/>
      <family val="2"/>
    </font>
    <font>
      <sz val="12"/>
      <name val="Arial"/>
      <family val="2"/>
    </font>
    <font>
      <sz val="20"/>
      <color indexed="81"/>
      <name val="Tahoma"/>
      <family val="2"/>
    </font>
    <font>
      <sz val="9"/>
      <color theme="1"/>
      <name val="Verdana"/>
      <family val="2"/>
    </font>
    <font>
      <i/>
      <sz val="14"/>
      <color theme="1"/>
      <name val="Arial"/>
      <family val="2"/>
    </font>
    <font>
      <i/>
      <sz val="28"/>
      <color theme="3" tint="0.59999389629810485"/>
      <name val="Arial"/>
      <family val="2"/>
    </font>
    <font>
      <i/>
      <sz val="26"/>
      <color theme="0" tint="-0.34998626667073579"/>
      <name val="Arial"/>
      <family val="2"/>
    </font>
    <font>
      <u/>
      <sz val="10"/>
      <color theme="10"/>
      <name val="Arial"/>
      <family val="2"/>
    </font>
    <font>
      <u/>
      <sz val="20"/>
      <color theme="3" tint="0.79998168889431442"/>
      <name val="Arial"/>
      <family val="2"/>
    </font>
    <font>
      <sz val="20"/>
      <name val="Bookman Old Style"/>
      <family val="1"/>
    </font>
    <font>
      <sz val="20"/>
      <color theme="0"/>
      <name val="Bookman Old Style"/>
      <family val="1"/>
    </font>
    <font>
      <sz val="10"/>
      <name val="Arial"/>
      <family val="2"/>
    </font>
    <font>
      <i/>
      <sz val="18"/>
      <name val="Arial"/>
      <family val="2"/>
    </font>
    <font>
      <sz val="18"/>
      <name val="Arial"/>
      <family val="2"/>
    </font>
    <font>
      <i/>
      <sz val="20"/>
      <name val="Arial"/>
      <family val="2"/>
    </font>
    <font>
      <sz val="20"/>
      <name val="Arial"/>
      <family val="2"/>
    </font>
    <font>
      <sz val="18"/>
      <name val="Bookman Old Style"/>
      <family val="1"/>
    </font>
    <font>
      <sz val="18"/>
      <color theme="0" tint="-0.34998626667073579"/>
      <name val="Arial"/>
      <family val="2"/>
    </font>
    <font>
      <i/>
      <sz val="18"/>
      <name val="Bookman Old Style"/>
      <family val="1"/>
    </font>
    <font>
      <sz val="26"/>
      <color theme="0"/>
      <name val="Bookman Old Style"/>
      <family val="1"/>
    </font>
    <font>
      <sz val="26"/>
      <name val="Bookman Old Style"/>
      <family val="1"/>
    </font>
    <font>
      <i/>
      <sz val="16"/>
      <name val="Bookman Old Style"/>
      <family val="1"/>
    </font>
    <font>
      <sz val="16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43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14">
    <xf numFmtId="0" fontId="0" fillId="0" borderId="0"/>
    <xf numFmtId="0" fontId="3" fillId="0" borderId="0"/>
    <xf numFmtId="0" fontId="2" fillId="0" borderId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4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4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9" borderId="0" applyNumberFormat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19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18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6" fillId="18" borderId="0" applyNumberFormat="0" applyBorder="0" applyAlignment="0" applyProtection="0"/>
    <xf numFmtId="0" fontId="17" fillId="29" borderId="12" applyNumberFormat="0" applyAlignment="0" applyProtection="0"/>
    <xf numFmtId="0" fontId="18" fillId="19" borderId="13" applyNumberFormat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33" borderId="0" applyNumberFormat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0" fontId="27" fillId="27" borderId="12" applyNumberFormat="0" applyAlignment="0" applyProtection="0"/>
    <xf numFmtId="0" fontId="28" fillId="0" borderId="17" applyNumberFormat="0" applyFill="0" applyAlignment="0" applyProtection="0"/>
    <xf numFmtId="0" fontId="29" fillId="27" borderId="0" applyNumberFormat="0" applyBorder="0" applyAlignment="0" applyProtection="0"/>
    <xf numFmtId="0" fontId="2" fillId="0" borderId="0"/>
    <xf numFmtId="0" fontId="3" fillId="0" borderId="0"/>
    <xf numFmtId="0" fontId="3" fillId="26" borderId="18" applyNumberFormat="0" applyFont="0" applyAlignment="0" applyProtection="0"/>
    <xf numFmtId="0" fontId="30" fillId="29" borderId="19" applyNumberFormat="0" applyAlignment="0" applyProtection="0"/>
    <xf numFmtId="9" fontId="3" fillId="0" borderId="0" applyFont="0" applyFill="0" applyBorder="0" applyAlignment="0" applyProtection="0"/>
    <xf numFmtId="4" fontId="31" fillId="34" borderId="20" applyNumberFormat="0" applyProtection="0">
      <alignment vertical="center"/>
    </xf>
    <xf numFmtId="4" fontId="32" fillId="34" borderId="20" applyNumberFormat="0" applyProtection="0">
      <alignment vertical="center"/>
    </xf>
    <xf numFmtId="4" fontId="31" fillId="34" borderId="20" applyNumberFormat="0" applyProtection="0">
      <alignment horizontal="left" vertical="center" indent="1"/>
    </xf>
    <xf numFmtId="0" fontId="31" fillId="34" borderId="20" applyNumberFormat="0" applyProtection="0">
      <alignment horizontal="left" vertical="top" indent="1"/>
    </xf>
    <xf numFmtId="4" fontId="31" fillId="3" borderId="0" applyNumberFormat="0" applyProtection="0">
      <alignment horizontal="left" vertical="center" indent="1"/>
    </xf>
    <xf numFmtId="4" fontId="12" fillId="8" borderId="20" applyNumberFormat="0" applyProtection="0">
      <alignment horizontal="right" vertical="center"/>
    </xf>
    <xf numFmtId="4" fontId="12" fillId="4" borderId="20" applyNumberFormat="0" applyProtection="0">
      <alignment horizontal="right" vertical="center"/>
    </xf>
    <xf numFmtId="4" fontId="12" fillId="35" borderId="20" applyNumberFormat="0" applyProtection="0">
      <alignment horizontal="right" vertical="center"/>
    </xf>
    <xf numFmtId="4" fontId="12" fillId="36" borderId="20" applyNumberFormat="0" applyProtection="0">
      <alignment horizontal="right" vertical="center"/>
    </xf>
    <xf numFmtId="4" fontId="12" fillId="37" borderId="20" applyNumberFormat="0" applyProtection="0">
      <alignment horizontal="right" vertical="center"/>
    </xf>
    <xf numFmtId="4" fontId="12" fillId="38" borderId="20" applyNumberFormat="0" applyProtection="0">
      <alignment horizontal="right" vertical="center"/>
    </xf>
    <xf numFmtId="4" fontId="12" fillId="10" borderId="20" applyNumberFormat="0" applyProtection="0">
      <alignment horizontal="right" vertical="center"/>
    </xf>
    <xf numFmtId="4" fontId="12" fillId="39" borderId="20" applyNumberFormat="0" applyProtection="0">
      <alignment horizontal="right" vertical="center"/>
    </xf>
    <xf numFmtId="4" fontId="12" fillId="40" borderId="20" applyNumberFormat="0" applyProtection="0">
      <alignment horizontal="right" vertical="center"/>
    </xf>
    <xf numFmtId="4" fontId="31" fillId="41" borderId="21" applyNumberFormat="0" applyProtection="0">
      <alignment horizontal="left" vertical="center" indent="1"/>
    </xf>
    <xf numFmtId="4" fontId="12" fillId="42" borderId="0" applyNumberFormat="0" applyProtection="0">
      <alignment horizontal="left" vertical="center" indent="1"/>
    </xf>
    <xf numFmtId="4" fontId="33" fillId="9" borderId="0" applyNumberFormat="0" applyProtection="0">
      <alignment horizontal="left" vertical="center" indent="1"/>
    </xf>
    <xf numFmtId="4" fontId="12" fillId="3" borderId="20" applyNumberFormat="0" applyProtection="0">
      <alignment horizontal="right" vertical="center"/>
    </xf>
    <xf numFmtId="4" fontId="12" fillId="42" borderId="0" applyNumberFormat="0" applyProtection="0">
      <alignment horizontal="left" vertical="center" indent="1"/>
    </xf>
    <xf numFmtId="4" fontId="12" fillId="3" borderId="0" applyNumberFormat="0" applyProtection="0">
      <alignment horizontal="left" vertical="center" indent="1"/>
    </xf>
    <xf numFmtId="0" fontId="3" fillId="9" borderId="20" applyNumberFormat="0" applyProtection="0">
      <alignment horizontal="left" vertical="center" indent="1"/>
    </xf>
    <xf numFmtId="0" fontId="3" fillId="9" borderId="20" applyNumberFormat="0" applyProtection="0">
      <alignment horizontal="left" vertical="top" indent="1"/>
    </xf>
    <xf numFmtId="0" fontId="3" fillId="3" borderId="20" applyNumberFormat="0" applyProtection="0">
      <alignment horizontal="left" vertical="center" indent="1"/>
    </xf>
    <xf numFmtId="0" fontId="3" fillId="3" borderId="20" applyNumberFormat="0" applyProtection="0">
      <alignment horizontal="left" vertical="top" indent="1"/>
    </xf>
    <xf numFmtId="0" fontId="3" fillId="7" borderId="20" applyNumberFormat="0" applyProtection="0">
      <alignment horizontal="left" vertical="center" indent="1"/>
    </xf>
    <xf numFmtId="0" fontId="3" fillId="7" borderId="20" applyNumberFormat="0" applyProtection="0">
      <alignment horizontal="left" vertical="top" indent="1"/>
    </xf>
    <xf numFmtId="0" fontId="3" fillId="42" borderId="20" applyNumberFormat="0" applyProtection="0">
      <alignment horizontal="left" vertical="center" indent="1"/>
    </xf>
    <xf numFmtId="0" fontId="3" fillId="42" borderId="20" applyNumberFormat="0" applyProtection="0">
      <alignment horizontal="left" vertical="top" indent="1"/>
    </xf>
    <xf numFmtId="0" fontId="3" fillId="6" borderId="1" applyNumberFormat="0">
      <protection locked="0"/>
    </xf>
    <xf numFmtId="4" fontId="12" fillId="5" borderId="20" applyNumberFormat="0" applyProtection="0">
      <alignment vertical="center"/>
    </xf>
    <xf numFmtId="4" fontId="34" fillId="5" borderId="20" applyNumberFormat="0" applyProtection="0">
      <alignment vertical="center"/>
    </xf>
    <xf numFmtId="4" fontId="12" fillId="5" borderId="20" applyNumberFormat="0" applyProtection="0">
      <alignment horizontal="left" vertical="center" indent="1"/>
    </xf>
    <xf numFmtId="0" fontId="12" fillId="5" borderId="20" applyNumberFormat="0" applyProtection="0">
      <alignment horizontal="left" vertical="top" indent="1"/>
    </xf>
    <xf numFmtId="4" fontId="12" fillId="42" borderId="20" applyNumberFormat="0" applyProtection="0">
      <alignment horizontal="right" vertical="center"/>
    </xf>
    <xf numFmtId="4" fontId="34" fillId="42" borderId="20" applyNumberFormat="0" applyProtection="0">
      <alignment horizontal="right" vertical="center"/>
    </xf>
    <xf numFmtId="4" fontId="12" fillId="3" borderId="20" applyNumberFormat="0" applyProtection="0">
      <alignment horizontal="left" vertical="center" indent="1"/>
    </xf>
    <xf numFmtId="0" fontId="12" fillId="3" borderId="20" applyNumberFormat="0" applyProtection="0">
      <alignment horizontal="left" vertical="top" indent="1"/>
    </xf>
    <xf numFmtId="4" fontId="35" fillId="43" borderId="0" applyNumberFormat="0" applyProtection="0">
      <alignment horizontal="left" vertical="center" indent="1"/>
    </xf>
    <xf numFmtId="4" fontId="36" fillId="42" borderId="20" applyNumberFormat="0" applyProtection="0">
      <alignment horizontal="right" vertical="center"/>
    </xf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9" fillId="0" borderId="22" applyNumberFormat="0" applyFill="0" applyAlignment="0" applyProtection="0"/>
    <xf numFmtId="0" fontId="38" fillId="0" borderId="0" applyNumberFormat="0" applyFill="0" applyBorder="0" applyAlignment="0" applyProtection="0"/>
    <xf numFmtId="0" fontId="1" fillId="0" borderId="0"/>
    <xf numFmtId="0" fontId="56" fillId="0" borderId="0"/>
    <xf numFmtId="0" fontId="60" fillId="0" borderId="0" applyNumberFormat="0" applyFill="0" applyBorder="0" applyAlignment="0" applyProtection="0"/>
    <xf numFmtId="9" fontId="64" fillId="0" borderId="0" applyFont="0" applyFill="0" applyBorder="0" applyAlignment="0" applyProtection="0"/>
  </cellStyleXfs>
  <cellXfs count="26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1" applyAlignment="1">
      <alignment vertical="center"/>
    </xf>
    <xf numFmtId="0" fontId="3" fillId="0" borderId="2" xfId="1" applyBorder="1" applyAlignment="1">
      <alignment vertical="center"/>
    </xf>
    <xf numFmtId="0" fontId="5" fillId="2" borderId="0" xfId="2" applyFont="1" applyFill="1" applyBorder="1" applyAlignment="1">
      <alignment horizontal="right" vertical="center" indent="1"/>
    </xf>
    <xf numFmtId="0" fontId="5" fillId="2" borderId="3" xfId="2" applyFont="1" applyFill="1" applyBorder="1" applyAlignment="1">
      <alignment horizontal="right" vertical="center" indent="1"/>
    </xf>
    <xf numFmtId="0" fontId="6" fillId="0" borderId="0" xfId="2" applyFont="1" applyAlignment="1">
      <alignment horizontal="left" vertical="center" indent="1"/>
    </xf>
    <xf numFmtId="0" fontId="9" fillId="0" borderId="0" xfId="1" applyFont="1" applyAlignment="1">
      <alignment vertical="center"/>
    </xf>
    <xf numFmtId="0" fontId="5" fillId="2" borderId="10" xfId="2" applyFont="1" applyFill="1" applyBorder="1" applyAlignment="1">
      <alignment horizontal="right" vertical="center" indent="1"/>
    </xf>
    <xf numFmtId="0" fontId="5" fillId="2" borderId="10" xfId="2" applyFont="1" applyFill="1" applyBorder="1" applyAlignment="1">
      <alignment horizontal="left" vertical="center" wrapText="1"/>
    </xf>
    <xf numFmtId="0" fontId="6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6" fillId="0" borderId="0" xfId="2" applyFont="1" applyBorder="1" applyAlignment="1">
      <alignment horizontal="left" vertical="center" wrapText="1"/>
    </xf>
    <xf numFmtId="0" fontId="11" fillId="2" borderId="11" xfId="2" applyFont="1" applyFill="1" applyBorder="1" applyAlignment="1">
      <alignment horizontal="center" vertical="center"/>
    </xf>
    <xf numFmtId="0" fontId="11" fillId="2" borderId="11" xfId="2" applyFont="1" applyFill="1" applyBorder="1" applyAlignment="1">
      <alignment vertical="center" wrapText="1"/>
    </xf>
    <xf numFmtId="164" fontId="6" fillId="0" borderId="5" xfId="2" applyNumberFormat="1" applyFont="1" applyBorder="1" applyAlignment="1" applyProtection="1">
      <alignment horizontal="center" vertical="center"/>
      <protection locked="0"/>
    </xf>
    <xf numFmtId="0" fontId="6" fillId="0" borderId="5" xfId="2" applyFont="1" applyBorder="1" applyAlignment="1" applyProtection="1">
      <alignment horizontal="center" vertical="center"/>
      <protection locked="0"/>
    </xf>
    <xf numFmtId="0" fontId="6" fillId="0" borderId="5" xfId="2" applyFont="1" applyBorder="1" applyAlignment="1" applyProtection="1">
      <alignment vertical="center" wrapText="1"/>
      <protection locked="0"/>
    </xf>
    <xf numFmtId="164" fontId="6" fillId="0" borderId="4" xfId="2" applyNumberFormat="1" applyFont="1" applyBorder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vertical="center" wrapText="1"/>
      <protection locked="0"/>
    </xf>
    <xf numFmtId="0" fontId="39" fillId="0" borderId="2" xfId="1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" fontId="0" fillId="44" borderId="5" xfId="0" applyNumberFormat="1" applyFill="1" applyBorder="1" applyAlignment="1">
      <alignment horizontal="center" vertical="center"/>
    </xf>
    <xf numFmtId="1" fontId="0" fillId="44" borderId="4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3" fontId="0" fillId="0" borderId="4" xfId="0" applyNumberFormat="1" applyFill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2" fontId="43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/>
    </xf>
    <xf numFmtId="0" fontId="6" fillId="0" borderId="4" xfId="2" quotePrefix="1" applyFont="1" applyBorder="1" applyAlignment="1" applyProtection="1">
      <alignment vertical="center" wrapText="1"/>
      <protection locked="0"/>
    </xf>
    <xf numFmtId="0" fontId="44" fillId="0" borderId="9" xfId="0" applyFont="1" applyFill="1" applyBorder="1" applyAlignment="1">
      <alignment horizontal="center" vertical="center"/>
    </xf>
    <xf numFmtId="0" fontId="45" fillId="0" borderId="9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44" fillId="0" borderId="0" xfId="0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7" fillId="0" borderId="0" xfId="0" applyFont="1" applyFill="1" applyBorder="1" applyAlignment="1">
      <alignment horizontal="center" vertical="center" wrapText="1"/>
    </xf>
    <xf numFmtId="3" fontId="47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65" fontId="0" fillId="44" borderId="5" xfId="0" applyNumberFormat="1" applyFill="1" applyBorder="1" applyAlignment="1">
      <alignment horizontal="center" vertical="center"/>
    </xf>
    <xf numFmtId="165" fontId="0" fillId="44" borderId="4" xfId="0" applyNumberFormat="1" applyFill="1" applyBorder="1" applyAlignment="1">
      <alignment horizontal="center" vertical="center"/>
    </xf>
    <xf numFmtId="165" fontId="0" fillId="44" borderId="6" xfId="0" applyNumberFormat="1" applyFill="1" applyBorder="1" applyAlignment="1">
      <alignment horizontal="center" vertical="center"/>
    </xf>
    <xf numFmtId="0" fontId="4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3" fontId="42" fillId="0" borderId="2" xfId="0" applyNumberFormat="1" applyFont="1" applyBorder="1" applyAlignment="1">
      <alignment horizontal="left" vertical="center"/>
    </xf>
    <xf numFmtId="3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2" fontId="42" fillId="0" borderId="2" xfId="0" applyNumberFormat="1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4" fillId="44" borderId="7" xfId="0" applyFont="1" applyFill="1" applyBorder="1" applyAlignment="1">
      <alignment horizontal="center" vertical="center"/>
    </xf>
    <xf numFmtId="0" fontId="4" fillId="44" borderId="0" xfId="0" applyFont="1" applyFill="1" applyAlignment="1">
      <alignment horizontal="center" vertical="center" wrapText="1"/>
    </xf>
    <xf numFmtId="3" fontId="4" fillId="44" borderId="0" xfId="0" applyNumberFormat="1" applyFont="1" applyFill="1" applyAlignment="1">
      <alignment horizontal="center" vertical="center" wrapText="1"/>
    </xf>
    <xf numFmtId="0" fontId="4" fillId="44" borderId="0" xfId="0" applyFont="1" applyFill="1" applyBorder="1" applyAlignment="1">
      <alignment horizontal="center" vertical="center" wrapText="1"/>
    </xf>
    <xf numFmtId="2" fontId="4" fillId="44" borderId="0" xfId="0" applyNumberFormat="1" applyFont="1" applyFill="1" applyBorder="1" applyAlignment="1">
      <alignment horizontal="center" vertical="center"/>
    </xf>
    <xf numFmtId="1" fontId="50" fillId="44" borderId="0" xfId="0" applyNumberFormat="1" applyFont="1" applyFill="1" applyBorder="1" applyAlignment="1">
      <alignment horizontal="center" vertical="center"/>
    </xf>
    <xf numFmtId="1" fontId="4" fillId="44" borderId="0" xfId="0" applyNumberFormat="1" applyFont="1" applyFill="1" applyBorder="1" applyAlignment="1">
      <alignment horizontal="center" vertical="center"/>
    </xf>
    <xf numFmtId="166" fontId="4" fillId="44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52" fillId="51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0" fontId="51" fillId="52" borderId="2" xfId="0" applyFont="1" applyFill="1" applyBorder="1" applyAlignment="1">
      <alignment horizontal="center" vertical="center"/>
    </xf>
    <xf numFmtId="3" fontId="51" fillId="52" borderId="2" xfId="0" applyNumberFormat="1" applyFont="1" applyFill="1" applyBorder="1" applyAlignment="1">
      <alignment horizontal="center" vertical="center"/>
    </xf>
    <xf numFmtId="9" fontId="51" fillId="52" borderId="2" xfId="0" applyNumberFormat="1" applyFont="1" applyFill="1" applyBorder="1" applyAlignment="1">
      <alignment horizontal="center" vertical="center"/>
    </xf>
    <xf numFmtId="0" fontId="53" fillId="52" borderId="2" xfId="0" applyFont="1" applyFill="1" applyBorder="1" applyAlignment="1">
      <alignment horizontal="left" vertical="center"/>
    </xf>
    <xf numFmtId="1" fontId="43" fillId="0" borderId="8" xfId="0" applyNumberFormat="1" applyFont="1" applyFill="1" applyBorder="1" applyAlignment="1">
      <alignment horizontal="center" vertical="center"/>
    </xf>
    <xf numFmtId="1" fontId="43" fillId="0" borderId="4" xfId="0" applyNumberFormat="1" applyFont="1" applyFill="1" applyBorder="1" applyAlignment="1">
      <alignment horizontal="center" vertical="center"/>
    </xf>
    <xf numFmtId="1" fontId="43" fillId="0" borderId="6" xfId="0" applyNumberFormat="1" applyFont="1" applyFill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54" fillId="0" borderId="4" xfId="0" applyFont="1" applyBorder="1" applyAlignment="1">
      <alignment horizontal="right" vertical="center"/>
    </xf>
    <xf numFmtId="3" fontId="54" fillId="0" borderId="4" xfId="0" applyNumberFormat="1" applyFont="1" applyBorder="1" applyAlignment="1">
      <alignment horizontal="center" vertical="center"/>
    </xf>
    <xf numFmtId="9" fontId="54" fillId="0" borderId="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4" fillId="0" borderId="6" xfId="0" applyFont="1" applyBorder="1" applyAlignment="1">
      <alignment horizontal="right" vertical="center"/>
    </xf>
    <xf numFmtId="3" fontId="54" fillId="0" borderId="6" xfId="0" applyNumberFormat="1" applyFont="1" applyBorder="1" applyAlignment="1">
      <alignment horizontal="center" vertical="center"/>
    </xf>
    <xf numFmtId="9" fontId="54" fillId="0" borderId="6" xfId="0" applyNumberFormat="1" applyFont="1" applyBorder="1" applyAlignment="1">
      <alignment horizontal="center" vertical="center"/>
    </xf>
    <xf numFmtId="0" fontId="4" fillId="44" borderId="0" xfId="0" applyFont="1" applyFill="1" applyBorder="1" applyAlignment="1">
      <alignment horizontal="center" vertical="center"/>
    </xf>
    <xf numFmtId="2" fontId="42" fillId="0" borderId="2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8" fontId="43" fillId="0" borderId="4" xfId="0" applyNumberFormat="1" applyFont="1" applyBorder="1" applyAlignment="1">
      <alignment horizontal="center" vertical="center"/>
    </xf>
    <xf numFmtId="168" fontId="43" fillId="0" borderId="6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8" fontId="43" fillId="0" borderId="5" xfId="0" applyNumberFormat="1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168" fontId="43" fillId="0" borderId="27" xfId="0" applyNumberFormat="1" applyFont="1" applyBorder="1" applyAlignment="1">
      <alignment horizontal="center" vertical="center"/>
    </xf>
    <xf numFmtId="167" fontId="43" fillId="0" borderId="28" xfId="0" applyNumberFormat="1" applyFont="1" applyBorder="1" applyAlignment="1">
      <alignment horizontal="center" vertical="center"/>
    </xf>
    <xf numFmtId="167" fontId="43" fillId="0" borderId="24" xfId="0" applyNumberFormat="1" applyFont="1" applyBorder="1" applyAlignment="1">
      <alignment horizontal="center" vertical="center"/>
    </xf>
    <xf numFmtId="167" fontId="43" fillId="0" borderId="29" xfId="0" applyNumberFormat="1" applyFont="1" applyBorder="1" applyAlignment="1">
      <alignment horizontal="center" vertical="center"/>
    </xf>
    <xf numFmtId="166" fontId="43" fillId="0" borderId="26" xfId="0" applyNumberFormat="1" applyFont="1" applyFill="1" applyBorder="1" applyAlignment="1">
      <alignment horizontal="center" vertical="center"/>
    </xf>
    <xf numFmtId="166" fontId="43" fillId="0" borderId="23" xfId="0" applyNumberFormat="1" applyFont="1" applyFill="1" applyBorder="1" applyAlignment="1">
      <alignment horizontal="center" vertical="center"/>
    </xf>
    <xf numFmtId="166" fontId="43" fillId="0" borderId="27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165" fontId="0" fillId="0" borderId="0" xfId="0" applyNumberForma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0" fontId="54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54" fillId="0" borderId="8" xfId="0" applyFont="1" applyBorder="1" applyAlignment="1">
      <alignment horizontal="right" vertical="center"/>
    </xf>
    <xf numFmtId="3" fontId="54" fillId="0" borderId="8" xfId="0" applyNumberFormat="1" applyFont="1" applyBorder="1" applyAlignment="1">
      <alignment horizontal="center" vertical="center"/>
    </xf>
    <xf numFmtId="9" fontId="54" fillId="0" borderId="8" xfId="0" applyNumberFormat="1" applyFont="1" applyBorder="1" applyAlignment="1">
      <alignment horizontal="center" vertical="center"/>
    </xf>
    <xf numFmtId="0" fontId="42" fillId="0" borderId="2" xfId="0" applyFont="1" applyBorder="1" applyAlignment="1">
      <alignment horizontal="right" vertical="center" wrapText="1"/>
    </xf>
    <xf numFmtId="0" fontId="42" fillId="0" borderId="2" xfId="0" applyFont="1" applyBorder="1" applyAlignment="1">
      <alignment horizontal="center" vertical="center" wrapText="1"/>
    </xf>
    <xf numFmtId="0" fontId="54" fillId="0" borderId="8" xfId="0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65" fontId="0" fillId="0" borderId="4" xfId="0" applyNumberForma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53" borderId="0" xfId="0" applyFont="1" applyFill="1" applyBorder="1" applyAlignment="1">
      <alignment horizontal="center" vertical="center" wrapText="1"/>
    </xf>
    <xf numFmtId="166" fontId="4" fillId="53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30" xfId="0" applyNumberFormat="1" applyFill="1" applyBorder="1" applyAlignment="1">
      <alignment horizontal="center" vertical="center"/>
    </xf>
    <xf numFmtId="165" fontId="0" fillId="0" borderId="31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0" applyNumberFormat="1" applyFill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44" borderId="30" xfId="0" applyNumberFormat="1" applyFill="1" applyBorder="1" applyAlignment="1">
      <alignment horizontal="center" vertical="center"/>
    </xf>
    <xf numFmtId="166" fontId="0" fillId="44" borderId="30" xfId="0" applyNumberFormat="1" applyFill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44" borderId="31" xfId="0" applyNumberFormat="1" applyFill="1" applyBorder="1" applyAlignment="1">
      <alignment horizontal="center" vertical="center"/>
    </xf>
    <xf numFmtId="166" fontId="0" fillId="44" borderId="31" xfId="0" applyNumberFormat="1" applyFill="1" applyBorder="1" applyAlignment="1">
      <alignment horizontal="center" vertical="center"/>
    </xf>
    <xf numFmtId="3" fontId="0" fillId="44" borderId="0" xfId="0" applyNumberFormat="1" applyFill="1" applyBorder="1" applyAlignment="1">
      <alignment horizontal="center" vertical="center"/>
    </xf>
    <xf numFmtId="166" fontId="0" fillId="44" borderId="0" xfId="0" applyNumberFormat="1" applyFill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2" fontId="0" fillId="0" borderId="0" xfId="0" applyNumberForma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48" fillId="0" borderId="0" xfId="0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/>
    </xf>
    <xf numFmtId="3" fontId="0" fillId="53" borderId="0" xfId="0" applyNumberFormat="1" applyFill="1" applyBorder="1" applyAlignment="1">
      <alignment horizontal="center" vertical="center"/>
    </xf>
    <xf numFmtId="166" fontId="0" fillId="53" borderId="0" xfId="0" applyNumberFormat="1" applyFill="1" applyBorder="1" applyAlignment="1">
      <alignment horizontal="center" vertical="center"/>
    </xf>
    <xf numFmtId="3" fontId="0" fillId="53" borderId="31" xfId="0" applyNumberFormat="1" applyFill="1" applyBorder="1" applyAlignment="1">
      <alignment horizontal="center" vertical="center"/>
    </xf>
    <xf numFmtId="0" fontId="0" fillId="53" borderId="31" xfId="0" applyFill="1" applyBorder="1" applyAlignment="1">
      <alignment horizontal="center" vertical="center"/>
    </xf>
    <xf numFmtId="166" fontId="0" fillId="53" borderId="31" xfId="0" applyNumberFormat="1" applyFill="1" applyBorder="1" applyAlignment="1">
      <alignment horizontal="center" vertical="center"/>
    </xf>
    <xf numFmtId="0" fontId="0" fillId="53" borderId="30" xfId="0" applyFill="1" applyBorder="1" applyAlignment="1">
      <alignment horizontal="center" vertical="center"/>
    </xf>
    <xf numFmtId="166" fontId="0" fillId="53" borderId="30" xfId="0" applyNumberFormat="1" applyFill="1" applyBorder="1" applyAlignment="1">
      <alignment horizontal="center" vertical="center"/>
    </xf>
    <xf numFmtId="166" fontId="43" fillId="0" borderId="5" xfId="0" applyNumberFormat="1" applyFont="1" applyFill="1" applyBorder="1" applyAlignment="1">
      <alignment horizontal="center" vertical="center"/>
    </xf>
    <xf numFmtId="166" fontId="43" fillId="0" borderId="4" xfId="0" applyNumberFormat="1" applyFont="1" applyFill="1" applyBorder="1" applyAlignment="1">
      <alignment horizontal="center" vertical="center"/>
    </xf>
    <xf numFmtId="166" fontId="43" fillId="0" borderId="6" xfId="0" applyNumberFormat="1" applyFont="1" applyFill="1" applyBorder="1" applyAlignment="1">
      <alignment horizontal="center" vertical="center"/>
    </xf>
    <xf numFmtId="168" fontId="43" fillId="0" borderId="2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right" vertical="center"/>
    </xf>
    <xf numFmtId="0" fontId="58" fillId="52" borderId="2" xfId="0" applyFont="1" applyFill="1" applyBorder="1" applyAlignment="1">
      <alignment horizontal="left" vertical="center"/>
    </xf>
    <xf numFmtId="0" fontId="59" fillId="51" borderId="2" xfId="0" applyFont="1" applyFill="1" applyBorder="1" applyAlignment="1">
      <alignment horizontal="left" vertical="center"/>
    </xf>
    <xf numFmtId="0" fontId="61" fillId="52" borderId="2" xfId="112" applyFont="1" applyFill="1" applyBorder="1" applyAlignment="1">
      <alignment horizontal="center" vertical="center"/>
    </xf>
    <xf numFmtId="0" fontId="0" fillId="54" borderId="0" xfId="0" applyFill="1" applyAlignment="1">
      <alignment horizontal="center" vertical="center"/>
    </xf>
    <xf numFmtId="3" fontId="0" fillId="54" borderId="0" xfId="0" applyNumberFormat="1" applyFill="1" applyAlignment="1">
      <alignment horizontal="center" vertical="center"/>
    </xf>
    <xf numFmtId="9" fontId="0" fillId="54" borderId="0" xfId="0" applyNumberFormat="1" applyFill="1" applyAlignment="1">
      <alignment horizontal="center" vertical="center"/>
    </xf>
    <xf numFmtId="0" fontId="0" fillId="54" borderId="0" xfId="0" applyFill="1" applyBorder="1" applyAlignment="1">
      <alignment horizontal="center" vertical="center"/>
    </xf>
    <xf numFmtId="0" fontId="42" fillId="50" borderId="7" xfId="0" applyFont="1" applyFill="1" applyBorder="1" applyAlignment="1">
      <alignment horizontal="center" vertical="center" wrapText="1"/>
    </xf>
    <xf numFmtId="0" fontId="57" fillId="50" borderId="7" xfId="0" applyFont="1" applyFill="1" applyBorder="1" applyAlignment="1">
      <alignment horizontal="center" vertical="center" wrapText="1"/>
    </xf>
    <xf numFmtId="9" fontId="42" fillId="50" borderId="7" xfId="0" applyNumberFormat="1" applyFont="1" applyFill="1" applyBorder="1" applyAlignment="1">
      <alignment horizontal="center" vertical="center" wrapText="1"/>
    </xf>
    <xf numFmtId="3" fontId="42" fillId="50" borderId="7" xfId="0" applyNumberFormat="1" applyFont="1" applyFill="1" applyBorder="1" applyAlignment="1">
      <alignment horizontal="center" vertical="center" wrapText="1"/>
    </xf>
    <xf numFmtId="1" fontId="42" fillId="50" borderId="7" xfId="0" applyNumberFormat="1" applyFont="1" applyFill="1" applyBorder="1" applyAlignment="1">
      <alignment horizontal="center" vertical="center" wrapText="1"/>
    </xf>
    <xf numFmtId="0" fontId="0" fillId="54" borderId="2" xfId="0" applyFill="1" applyBorder="1" applyAlignment="1">
      <alignment horizontal="center" vertical="center"/>
    </xf>
    <xf numFmtId="3" fontId="0" fillId="54" borderId="2" xfId="0" applyNumberFormat="1" applyFill="1" applyBorder="1" applyAlignment="1">
      <alignment horizontal="center" vertical="center"/>
    </xf>
    <xf numFmtId="9" fontId="0" fillId="54" borderId="2" xfId="0" applyNumberFormat="1" applyFill="1" applyBorder="1" applyAlignment="1">
      <alignment horizontal="center" vertical="center"/>
    </xf>
    <xf numFmtId="49" fontId="43" fillId="0" borderId="8" xfId="0" applyNumberFormat="1" applyFont="1" applyBorder="1" applyAlignment="1" applyProtection="1">
      <alignment horizontal="center" vertical="center"/>
      <protection locked="0"/>
    </xf>
    <xf numFmtId="49" fontId="43" fillId="0" borderId="4" xfId="0" applyNumberFormat="1" applyFont="1" applyBorder="1" applyAlignment="1" applyProtection="1">
      <alignment horizontal="center" vertical="center"/>
      <protection locked="0"/>
    </xf>
    <xf numFmtId="49" fontId="43" fillId="0" borderId="6" xfId="0" applyNumberFormat="1" applyFont="1" applyBorder="1" applyAlignment="1" applyProtection="1">
      <alignment horizontal="center" vertical="center"/>
      <protection locked="0"/>
    </xf>
    <xf numFmtId="0" fontId="48" fillId="47" borderId="7" xfId="0" applyFont="1" applyFill="1" applyBorder="1" applyAlignment="1" applyProtection="1">
      <alignment horizontal="center" vertical="center"/>
      <protection locked="0"/>
    </xf>
    <xf numFmtId="0" fontId="48" fillId="46" borderId="7" xfId="0" applyFont="1" applyFill="1" applyBorder="1" applyAlignment="1" applyProtection="1">
      <alignment horizontal="center" vertical="center"/>
      <protection locked="0"/>
    </xf>
    <xf numFmtId="0" fontId="48" fillId="48" borderId="7" xfId="0" applyFont="1" applyFill="1" applyBorder="1" applyAlignment="1" applyProtection="1">
      <alignment horizontal="center" vertical="center"/>
      <protection locked="0"/>
    </xf>
    <xf numFmtId="0" fontId="49" fillId="45" borderId="7" xfId="0" applyFont="1" applyFill="1" applyBorder="1" applyAlignment="1" applyProtection="1">
      <alignment horizontal="center" vertical="center"/>
      <protection locked="0"/>
    </xf>
    <xf numFmtId="0" fontId="49" fillId="49" borderId="7" xfId="0" applyFont="1" applyFill="1" applyBorder="1" applyAlignment="1" applyProtection="1">
      <alignment horizontal="center" vertical="center"/>
      <protection locked="0"/>
    </xf>
    <xf numFmtId="0" fontId="48" fillId="47" borderId="25" xfId="0" applyFont="1" applyFill="1" applyBorder="1" applyAlignment="1" applyProtection="1">
      <alignment horizontal="center" vertical="center"/>
      <protection locked="0"/>
    </xf>
    <xf numFmtId="0" fontId="48" fillId="46" borderId="25" xfId="0" applyFont="1" applyFill="1" applyBorder="1" applyAlignment="1" applyProtection="1">
      <alignment horizontal="center" vertical="center"/>
      <protection locked="0"/>
    </xf>
    <xf numFmtId="0" fontId="48" fillId="48" borderId="25" xfId="0" applyFont="1" applyFill="1" applyBorder="1" applyAlignment="1" applyProtection="1">
      <alignment horizontal="center" vertical="center"/>
      <protection locked="0"/>
    </xf>
    <xf numFmtId="0" fontId="49" fillId="45" borderId="25" xfId="0" applyFont="1" applyFill="1" applyBorder="1" applyAlignment="1" applyProtection="1">
      <alignment horizontal="center" vertical="center"/>
      <protection locked="0"/>
    </xf>
    <xf numFmtId="0" fontId="49" fillId="49" borderId="25" xfId="0" applyFont="1" applyFill="1" applyBorder="1" applyAlignment="1" applyProtection="1">
      <alignment horizontal="center" vertical="center"/>
      <protection locked="0"/>
    </xf>
    <xf numFmtId="166" fontId="48" fillId="47" borderId="25" xfId="0" applyNumberFormat="1" applyFont="1" applyFill="1" applyBorder="1" applyAlignment="1" applyProtection="1">
      <alignment horizontal="center" vertical="center"/>
      <protection locked="0"/>
    </xf>
    <xf numFmtId="166" fontId="48" fillId="46" borderId="25" xfId="0" applyNumberFormat="1" applyFont="1" applyFill="1" applyBorder="1" applyAlignment="1" applyProtection="1">
      <alignment horizontal="center" vertical="center"/>
      <protection locked="0"/>
    </xf>
    <xf numFmtId="166" fontId="48" fillId="48" borderId="25" xfId="0" applyNumberFormat="1" applyFont="1" applyFill="1" applyBorder="1" applyAlignment="1" applyProtection="1">
      <alignment horizontal="center" vertical="center"/>
      <protection locked="0"/>
    </xf>
    <xf numFmtId="166" fontId="49" fillId="45" borderId="25" xfId="0" applyNumberFormat="1" applyFont="1" applyFill="1" applyBorder="1" applyAlignment="1" applyProtection="1">
      <alignment horizontal="center" vertical="center"/>
      <protection locked="0"/>
    </xf>
    <xf numFmtId="166" fontId="49" fillId="49" borderId="25" xfId="0" applyNumberFormat="1" applyFont="1" applyFill="1" applyBorder="1" applyAlignment="1" applyProtection="1">
      <alignment horizontal="center" vertical="center"/>
      <protection locked="0"/>
    </xf>
    <xf numFmtId="0" fontId="48" fillId="47" borderId="32" xfId="0" applyFont="1" applyFill="1" applyBorder="1" applyAlignment="1" applyProtection="1">
      <alignment horizontal="center" vertical="center"/>
      <protection locked="0"/>
    </xf>
    <xf numFmtId="0" fontId="48" fillId="46" borderId="32" xfId="0" applyFont="1" applyFill="1" applyBorder="1" applyAlignment="1" applyProtection="1">
      <alignment horizontal="center" vertical="center"/>
      <protection locked="0"/>
    </xf>
    <xf numFmtId="0" fontId="48" fillId="48" borderId="32" xfId="0" applyFont="1" applyFill="1" applyBorder="1" applyAlignment="1" applyProtection="1">
      <alignment horizontal="center" vertical="center"/>
      <protection locked="0"/>
    </xf>
    <xf numFmtId="0" fontId="49" fillId="45" borderId="32" xfId="0" applyFont="1" applyFill="1" applyBorder="1" applyAlignment="1" applyProtection="1">
      <alignment horizontal="center" vertical="center"/>
      <protection locked="0"/>
    </xf>
    <xf numFmtId="0" fontId="49" fillId="49" borderId="32" xfId="0" applyFont="1" applyFill="1" applyBorder="1" applyAlignment="1" applyProtection="1">
      <alignment horizontal="center" vertical="center"/>
      <protection locked="0"/>
    </xf>
    <xf numFmtId="169" fontId="0" fillId="0" borderId="23" xfId="0" applyNumberFormat="1" applyFill="1" applyBorder="1" applyAlignment="1">
      <alignment horizontal="center" vertical="center"/>
    </xf>
    <xf numFmtId="169" fontId="0" fillId="0" borderId="4" xfId="0" applyNumberFormat="1" applyFill="1" applyBorder="1" applyAlignment="1">
      <alignment horizontal="center" vertical="center"/>
    </xf>
    <xf numFmtId="169" fontId="0" fillId="0" borderId="2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63" fillId="45" borderId="2" xfId="0" applyFont="1" applyFill="1" applyBorder="1" applyAlignment="1" applyProtection="1">
      <alignment horizontal="center" vertical="center"/>
      <protection locked="0"/>
    </xf>
    <xf numFmtId="0" fontId="62" fillId="48" borderId="2" xfId="0" applyFont="1" applyFill="1" applyBorder="1" applyAlignment="1" applyProtection="1">
      <alignment horizontal="center" vertical="center"/>
      <protection locked="0"/>
    </xf>
    <xf numFmtId="0" fontId="62" fillId="46" borderId="2" xfId="0" applyFont="1" applyFill="1" applyBorder="1" applyAlignment="1" applyProtection="1">
      <alignment horizontal="center" vertical="center"/>
      <protection locked="0"/>
    </xf>
    <xf numFmtId="0" fontId="67" fillId="0" borderId="2" xfId="0" applyFont="1" applyBorder="1" applyAlignment="1">
      <alignment horizontal="left" vertical="center"/>
    </xf>
    <xf numFmtId="0" fontId="68" fillId="0" borderId="2" xfId="0" applyFont="1" applyBorder="1" applyAlignment="1">
      <alignment vertical="center"/>
    </xf>
    <xf numFmtId="0" fontId="42" fillId="49" borderId="2" xfId="0" applyFont="1" applyFill="1" applyBorder="1" applyAlignment="1">
      <alignment horizontal="center" vertical="center" wrapText="1"/>
    </xf>
    <xf numFmtId="0" fontId="0" fillId="47" borderId="34" xfId="0" applyFill="1" applyBorder="1" applyAlignment="1">
      <alignment vertical="center" wrapText="1"/>
    </xf>
    <xf numFmtId="0" fontId="54" fillId="0" borderId="4" xfId="0" applyFont="1" applyFill="1" applyBorder="1" applyAlignment="1">
      <alignment horizontal="right" vertical="center"/>
    </xf>
    <xf numFmtId="0" fontId="48" fillId="0" borderId="4" xfId="0" applyFont="1" applyFill="1" applyBorder="1" applyAlignment="1" applyProtection="1">
      <alignment horizontal="right" vertical="center"/>
      <protection locked="0"/>
    </xf>
    <xf numFmtId="0" fontId="54" fillId="0" borderId="6" xfId="0" applyFont="1" applyFill="1" applyBorder="1" applyAlignment="1">
      <alignment horizontal="right" vertical="center"/>
    </xf>
    <xf numFmtId="0" fontId="48" fillId="0" borderId="6" xfId="0" applyFont="1" applyFill="1" applyBorder="1" applyAlignment="1" applyProtection="1">
      <alignment horizontal="right" vertical="center"/>
      <protection locked="0"/>
    </xf>
    <xf numFmtId="0" fontId="62" fillId="47" borderId="2" xfId="0" applyFont="1" applyFill="1" applyBorder="1" applyAlignment="1" applyProtection="1">
      <alignment horizontal="left" vertical="center"/>
      <protection locked="0"/>
    </xf>
    <xf numFmtId="0" fontId="63" fillId="49" borderId="2" xfId="0" applyFont="1" applyFill="1" applyBorder="1" applyAlignment="1" applyProtection="1">
      <alignment horizontal="left" vertical="center"/>
      <protection locked="0"/>
    </xf>
    <xf numFmtId="1" fontId="54" fillId="0" borderId="8" xfId="0" applyNumberFormat="1" applyFont="1" applyBorder="1" applyAlignment="1">
      <alignment horizontal="right" vertical="center"/>
    </xf>
    <xf numFmtId="1" fontId="54" fillId="0" borderId="4" xfId="0" applyNumberFormat="1" applyFont="1" applyBorder="1" applyAlignment="1">
      <alignment horizontal="right" vertical="center"/>
    </xf>
    <xf numFmtId="1" fontId="48" fillId="0" borderId="4" xfId="0" applyNumberFormat="1" applyFont="1" applyFill="1" applyBorder="1" applyAlignment="1" applyProtection="1">
      <alignment horizontal="right" vertical="center"/>
      <protection locked="0"/>
    </xf>
    <xf numFmtId="1" fontId="48" fillId="0" borderId="6" xfId="0" applyNumberFormat="1" applyFont="1" applyFill="1" applyBorder="1" applyAlignment="1" applyProtection="1">
      <alignment horizontal="right" vertical="center"/>
      <protection locked="0"/>
    </xf>
    <xf numFmtId="0" fontId="69" fillId="0" borderId="27" xfId="0" applyFont="1" applyBorder="1" applyAlignment="1">
      <alignment vertical="center"/>
    </xf>
    <xf numFmtId="0" fontId="69" fillId="0" borderId="6" xfId="0" applyFont="1" applyBorder="1" applyAlignment="1">
      <alignment vertical="center"/>
    </xf>
    <xf numFmtId="0" fontId="69" fillId="0" borderId="29" xfId="0" applyFont="1" applyBorder="1" applyAlignment="1">
      <alignment vertical="center"/>
    </xf>
    <xf numFmtId="0" fontId="66" fillId="0" borderId="0" xfId="0" applyFont="1" applyAlignment="1">
      <alignment horizontal="center" vertical="center"/>
    </xf>
    <xf numFmtId="0" fontId="66" fillId="0" borderId="0" xfId="0" applyFont="1" applyAlignment="1">
      <alignment horizontal="left" vertical="center"/>
    </xf>
    <xf numFmtId="3" fontId="70" fillId="0" borderId="8" xfId="0" applyNumberFormat="1" applyFont="1" applyBorder="1" applyAlignment="1">
      <alignment horizontal="left" vertical="center"/>
    </xf>
    <xf numFmtId="3" fontId="70" fillId="0" borderId="4" xfId="0" applyNumberFormat="1" applyFont="1" applyBorder="1" applyAlignment="1">
      <alignment horizontal="left" vertical="center"/>
    </xf>
    <xf numFmtId="0" fontId="70" fillId="0" borderId="6" xfId="0" applyFont="1" applyBorder="1" applyAlignment="1">
      <alignment vertical="center"/>
    </xf>
    <xf numFmtId="1" fontId="70" fillId="0" borderId="8" xfId="0" applyNumberFormat="1" applyFont="1" applyBorder="1" applyAlignment="1">
      <alignment horizontal="right" vertical="center"/>
    </xf>
    <xf numFmtId="1" fontId="70" fillId="0" borderId="4" xfId="0" applyNumberFormat="1" applyFont="1" applyBorder="1" applyAlignment="1">
      <alignment horizontal="right" vertical="center"/>
    </xf>
    <xf numFmtId="1" fontId="70" fillId="0" borderId="6" xfId="0" applyNumberFormat="1" applyFont="1" applyBorder="1" applyAlignment="1">
      <alignment vertical="center"/>
    </xf>
    <xf numFmtId="0" fontId="65" fillId="0" borderId="0" xfId="0" applyFont="1" applyAlignment="1">
      <alignment horizontal="left" vertical="center"/>
    </xf>
    <xf numFmtId="9" fontId="71" fillId="0" borderId="7" xfId="113" applyFont="1" applyBorder="1" applyAlignment="1">
      <alignment horizontal="right" vertical="center"/>
    </xf>
    <xf numFmtId="0" fontId="69" fillId="0" borderId="35" xfId="0" applyFont="1" applyBorder="1" applyAlignment="1">
      <alignment horizontal="center" vertical="center"/>
    </xf>
    <xf numFmtId="0" fontId="69" fillId="0" borderId="8" xfId="0" applyFont="1" applyBorder="1" applyAlignment="1">
      <alignment horizontal="center" vertical="center"/>
    </xf>
    <xf numFmtId="0" fontId="69" fillId="0" borderId="36" xfId="0" applyFont="1" applyBorder="1" applyAlignment="1">
      <alignment horizontal="center" vertical="center"/>
    </xf>
    <xf numFmtId="0" fontId="72" fillId="49" borderId="37" xfId="0" applyFont="1" applyFill="1" applyBorder="1" applyAlignment="1">
      <alignment horizontal="center" vertical="center" wrapText="1"/>
    </xf>
    <xf numFmtId="0" fontId="72" fillId="45" borderId="37" xfId="0" applyFont="1" applyFill="1" applyBorder="1" applyAlignment="1">
      <alignment horizontal="center" vertical="center" wrapText="1"/>
    </xf>
    <xf numFmtId="0" fontId="73" fillId="48" borderId="37" xfId="0" applyFont="1" applyFill="1" applyBorder="1" applyAlignment="1">
      <alignment horizontal="center" vertical="center" wrapText="1"/>
    </xf>
    <xf numFmtId="0" fontId="73" fillId="46" borderId="37" xfId="0" applyFont="1" applyFill="1" applyBorder="1" applyAlignment="1">
      <alignment horizontal="center" vertical="center" wrapText="1"/>
    </xf>
    <xf numFmtId="0" fontId="73" fillId="47" borderId="37" xfId="0" applyFont="1" applyFill="1" applyBorder="1" applyAlignment="1">
      <alignment horizontal="center" vertical="center" wrapText="1"/>
    </xf>
    <xf numFmtId="0" fontId="69" fillId="0" borderId="4" xfId="0" applyFont="1" applyBorder="1" applyAlignment="1">
      <alignment horizontal="center" vertical="center"/>
    </xf>
    <xf numFmtId="0" fontId="69" fillId="0" borderId="24" xfId="0" applyFont="1" applyBorder="1" applyAlignment="1">
      <alignment horizontal="center" vertical="center"/>
    </xf>
    <xf numFmtId="0" fontId="69" fillId="0" borderId="23" xfId="0" applyFont="1" applyBorder="1" applyAlignment="1">
      <alignment horizontal="center" vertical="center"/>
    </xf>
    <xf numFmtId="0" fontId="6" fillId="0" borderId="33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left" vertical="center" wrapText="1" indent="1"/>
    </xf>
    <xf numFmtId="0" fontId="74" fillId="0" borderId="38" xfId="0" applyFont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74" fillId="0" borderId="38" xfId="0" applyFont="1" applyBorder="1" applyAlignment="1">
      <alignment horizontal="center" vertical="center"/>
    </xf>
    <xf numFmtId="9" fontId="74" fillId="0" borderId="7" xfId="113" applyFont="1" applyBorder="1" applyAlignment="1">
      <alignment horizontal="center" vertical="center"/>
    </xf>
    <xf numFmtId="0" fontId="75" fillId="0" borderId="7" xfId="0" applyFont="1" applyBorder="1" applyAlignment="1">
      <alignment vertical="center"/>
    </xf>
  </cellXfs>
  <cellStyles count="114"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- 20%" xfId="21"/>
    <cellStyle name="Accent1 - 40%" xfId="22"/>
    <cellStyle name="Accent1 - 60%" xfId="23"/>
    <cellStyle name="Accent1 2" xfId="24"/>
    <cellStyle name="Accent2 - 20%" xfId="25"/>
    <cellStyle name="Accent2 - 40%" xfId="26"/>
    <cellStyle name="Accent2 - 60%" xfId="27"/>
    <cellStyle name="Accent2 2" xfId="28"/>
    <cellStyle name="Accent3 - 20%" xfId="29"/>
    <cellStyle name="Accent3 - 40%" xfId="30"/>
    <cellStyle name="Accent3 - 60%" xfId="31"/>
    <cellStyle name="Accent3 2" xfId="32"/>
    <cellStyle name="Accent4 - 20%" xfId="33"/>
    <cellStyle name="Accent4 - 40%" xfId="34"/>
    <cellStyle name="Accent4 - 60%" xfId="35"/>
    <cellStyle name="Accent4 2" xfId="36"/>
    <cellStyle name="Accent5 - 20%" xfId="37"/>
    <cellStyle name="Accent5 - 40%" xfId="38"/>
    <cellStyle name="Accent5 - 60%" xfId="39"/>
    <cellStyle name="Accent5 2" xfId="40"/>
    <cellStyle name="Accent6 - 20%" xfId="41"/>
    <cellStyle name="Accent6 - 40%" xfId="42"/>
    <cellStyle name="Accent6 - 60%" xfId="43"/>
    <cellStyle name="Accent6 2" xfId="44"/>
    <cellStyle name="Bad 2" xfId="45"/>
    <cellStyle name="Calculation 2" xfId="46"/>
    <cellStyle name="Check Cell 2" xfId="47"/>
    <cellStyle name="Emphasis 1" xfId="48"/>
    <cellStyle name="Emphasis 2" xfId="49"/>
    <cellStyle name="Emphasis 3" xfId="50"/>
    <cellStyle name="Explanatory Text 2" xfId="51"/>
    <cellStyle name="Good 2" xfId="52"/>
    <cellStyle name="Heading 1 2" xfId="53"/>
    <cellStyle name="Heading 2 2" xfId="54"/>
    <cellStyle name="Heading 3 2" xfId="55"/>
    <cellStyle name="Heading 4 2" xfId="56"/>
    <cellStyle name="Hyperlink" xfId="112" builtinId="8"/>
    <cellStyle name="Hyperlink 2" xfId="57"/>
    <cellStyle name="Hyperlink 3" xfId="58"/>
    <cellStyle name="Input 2" xfId="59"/>
    <cellStyle name="Linked Cell 2" xfId="60"/>
    <cellStyle name="Neutral 2" xfId="61"/>
    <cellStyle name="Normal" xfId="0" builtinId="0"/>
    <cellStyle name="Normal 2" xfId="62"/>
    <cellStyle name="Normal 2 2" xfId="1"/>
    <cellStyle name="Normal 3" xfId="63"/>
    <cellStyle name="Normal 4" xfId="2"/>
    <cellStyle name="Normal 5" xfId="110"/>
    <cellStyle name="Normal 6" xfId="111"/>
    <cellStyle name="Note 2" xfId="64"/>
    <cellStyle name="Output 2" xfId="65"/>
    <cellStyle name="Percent" xfId="113" builtinId="5"/>
    <cellStyle name="Percent 2" xfId="66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1" xfId="89"/>
    <cellStyle name="SAPBEXHLevel1X" xfId="90"/>
    <cellStyle name="SAPBEXHLevel2" xfId="91"/>
    <cellStyle name="SAPBEXHLevel2X" xfId="92"/>
    <cellStyle name="SAPBEXHLevel3" xfId="93"/>
    <cellStyle name="SAPBEXHLevel3X" xfId="94"/>
    <cellStyle name="SAPBEXinputData" xfId="95"/>
    <cellStyle name="SAPBEXresData" xfId="96"/>
    <cellStyle name="SAPBEXresDataEmph" xfId="97"/>
    <cellStyle name="SAPBEXresItem" xfId="98"/>
    <cellStyle name="SAPBEXresItemX" xfId="99"/>
    <cellStyle name="SAPBEXstdData" xfId="100"/>
    <cellStyle name="SAPBEXstdDataEmph" xfId="101"/>
    <cellStyle name="SAPBEXstdItem" xfId="102"/>
    <cellStyle name="SAPBEXstdItemX" xfId="103"/>
    <cellStyle name="SAPBEXtitle" xfId="104"/>
    <cellStyle name="SAPBEXundefined" xfId="105"/>
    <cellStyle name="Sheet Title" xfId="106"/>
    <cellStyle name="Title 2" xfId="107"/>
    <cellStyle name="Total 2" xfId="108"/>
    <cellStyle name="Warning Text 2" xfId="109"/>
  </cellStyles>
  <dxfs count="16">
    <dxf>
      <fill>
        <patternFill>
          <bgColor rgb="FF00FF00"/>
        </patternFill>
      </fill>
    </dxf>
    <dxf>
      <font>
        <b val="0"/>
        <i val="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FF00"/>
      <color rgb="FF00FF99"/>
      <color rgb="FFFF9900"/>
      <color rgb="FF66FF33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hickness!A1"/><Relationship Id="rId2" Type="http://schemas.openxmlformats.org/officeDocument/2006/relationships/hyperlink" Target="#Hours!A1"/><Relationship Id="rId1" Type="http://schemas.openxmlformats.org/officeDocument/2006/relationships/hyperlink" Target="#'Track Installation'!A1"/><Relationship Id="rId4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mage!A1"/><Relationship Id="rId2" Type="http://schemas.openxmlformats.org/officeDocument/2006/relationships/hyperlink" Target="#Hours!A1"/><Relationship Id="rId1" Type="http://schemas.openxmlformats.org/officeDocument/2006/relationships/hyperlink" Target="#'Front Page'!A1"/><Relationship Id="rId6" Type="http://schemas.openxmlformats.org/officeDocument/2006/relationships/image" Target="../media/image2.jpeg"/><Relationship Id="rId5" Type="http://schemas.openxmlformats.org/officeDocument/2006/relationships/hyperlink" Target="#'Track Installation'!A1"/><Relationship Id="rId4" Type="http://schemas.openxmlformats.org/officeDocument/2006/relationships/hyperlink" Target="#Thicknes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mage!A1"/><Relationship Id="rId2" Type="http://schemas.openxmlformats.org/officeDocument/2006/relationships/hyperlink" Target="#Hours!A1"/><Relationship Id="rId1" Type="http://schemas.openxmlformats.org/officeDocument/2006/relationships/hyperlink" Target="#'Front Page'!A1"/><Relationship Id="rId5" Type="http://schemas.openxmlformats.org/officeDocument/2006/relationships/hyperlink" Target="#'Track Installation'!A1"/><Relationship Id="rId4" Type="http://schemas.openxmlformats.org/officeDocument/2006/relationships/hyperlink" Target="#Thicknes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mage!A1"/><Relationship Id="rId2" Type="http://schemas.openxmlformats.org/officeDocument/2006/relationships/hyperlink" Target="#Hours!A1"/><Relationship Id="rId1" Type="http://schemas.openxmlformats.org/officeDocument/2006/relationships/hyperlink" Target="#'Front Page'!A1"/><Relationship Id="rId5" Type="http://schemas.openxmlformats.org/officeDocument/2006/relationships/hyperlink" Target="#'Track Installation'!A1"/><Relationship Id="rId4" Type="http://schemas.openxmlformats.org/officeDocument/2006/relationships/hyperlink" Target="#Thicknes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mage!A1"/><Relationship Id="rId2" Type="http://schemas.openxmlformats.org/officeDocument/2006/relationships/hyperlink" Target="#Hours!A1"/><Relationship Id="rId1" Type="http://schemas.openxmlformats.org/officeDocument/2006/relationships/hyperlink" Target="#'Front Page'!A1"/><Relationship Id="rId5" Type="http://schemas.openxmlformats.org/officeDocument/2006/relationships/hyperlink" Target="#'Track Installation'!A1"/><Relationship Id="rId4" Type="http://schemas.openxmlformats.org/officeDocument/2006/relationships/hyperlink" Target="#Thicknes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Front Page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Front Page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</xdr:colOff>
      <xdr:row>7</xdr:row>
      <xdr:rowOff>31664</xdr:rowOff>
    </xdr:from>
    <xdr:to>
      <xdr:col>7</xdr:col>
      <xdr:colOff>1004846</xdr:colOff>
      <xdr:row>7</xdr:row>
      <xdr:rowOff>168824</xdr:rowOff>
    </xdr:to>
    <xdr:sp macro="" textlink="">
      <xdr:nvSpPr>
        <xdr:cNvPr id="5" name="Pentagon 4">
          <a:hlinkClick xmlns:r="http://schemas.openxmlformats.org/officeDocument/2006/relationships" r:id="rId1"/>
        </xdr:cNvPr>
        <xdr:cNvSpPr/>
      </xdr:nvSpPr>
      <xdr:spPr>
        <a:xfrm>
          <a:off x="425726" y="2290450"/>
          <a:ext cx="6675120" cy="137160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10702</xdr:colOff>
      <xdr:row>7</xdr:row>
      <xdr:rowOff>32227</xdr:rowOff>
    </xdr:from>
    <xdr:to>
      <xdr:col>10</xdr:col>
      <xdr:colOff>10702</xdr:colOff>
      <xdr:row>7</xdr:row>
      <xdr:rowOff>169387</xdr:rowOff>
    </xdr:to>
    <xdr:sp macro="" textlink="">
      <xdr:nvSpPr>
        <xdr:cNvPr id="6" name="Chevron 5">
          <a:hlinkClick xmlns:r="http://schemas.openxmlformats.org/officeDocument/2006/relationships" r:id="rId2"/>
        </xdr:cNvPr>
        <xdr:cNvSpPr/>
      </xdr:nvSpPr>
      <xdr:spPr>
        <a:xfrm>
          <a:off x="7399381" y="2291013"/>
          <a:ext cx="2979964" cy="137160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13606</xdr:colOff>
      <xdr:row>7</xdr:row>
      <xdr:rowOff>31666</xdr:rowOff>
    </xdr:from>
    <xdr:to>
      <xdr:col>12</xdr:col>
      <xdr:colOff>1110886</xdr:colOff>
      <xdr:row>7</xdr:row>
      <xdr:rowOff>168826</xdr:rowOff>
    </xdr:to>
    <xdr:sp macro="" textlink="">
      <xdr:nvSpPr>
        <xdr:cNvPr id="16" name="Chevron 15">
          <a:hlinkClick xmlns:r="http://schemas.openxmlformats.org/officeDocument/2006/relationships" r:id="rId3"/>
        </xdr:cNvPr>
        <xdr:cNvSpPr/>
      </xdr:nvSpPr>
      <xdr:spPr>
        <a:xfrm>
          <a:off x="13103677" y="2290452"/>
          <a:ext cx="1097280" cy="137160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95249</xdr:colOff>
      <xdr:row>7</xdr:row>
      <xdr:rowOff>631221</xdr:rowOff>
    </xdr:from>
    <xdr:to>
      <xdr:col>1</xdr:col>
      <xdr:colOff>63499</xdr:colOff>
      <xdr:row>7</xdr:row>
      <xdr:rowOff>941916</xdr:rowOff>
    </xdr:to>
    <xdr:pic macro="[0]!UpdateFrontPageShovelList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" y="2917221"/>
          <a:ext cx="264583" cy="31069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22805</xdr:colOff>
      <xdr:row>3</xdr:row>
      <xdr:rowOff>14362</xdr:rowOff>
    </xdr:from>
    <xdr:to>
      <xdr:col>2</xdr:col>
      <xdr:colOff>120283</xdr:colOff>
      <xdr:row>3</xdr:row>
      <xdr:rowOff>87513</xdr:rowOff>
    </xdr:to>
    <xdr:sp macro="" textlink="">
      <xdr:nvSpPr>
        <xdr:cNvPr id="3" name="Pentagon 2">
          <a:hlinkClick xmlns:r="http://schemas.openxmlformats.org/officeDocument/2006/relationships" r:id="rId1"/>
        </xdr:cNvPr>
        <xdr:cNvSpPr/>
      </xdr:nvSpPr>
      <xdr:spPr>
        <a:xfrm>
          <a:off x="535690" y="842304"/>
          <a:ext cx="896112" cy="73151"/>
        </a:xfrm>
        <a:prstGeom prst="homePlate">
          <a:avLst/>
        </a:prstGeom>
        <a:solidFill>
          <a:schemeClr val="accent1">
            <a:lumMod val="75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318862</xdr:colOff>
      <xdr:row>3</xdr:row>
      <xdr:rowOff>14363</xdr:rowOff>
    </xdr:from>
    <xdr:to>
      <xdr:col>5</xdr:col>
      <xdr:colOff>53251</xdr:colOff>
      <xdr:row>3</xdr:row>
      <xdr:rowOff>87514</xdr:rowOff>
    </xdr:to>
    <xdr:sp macro="" textlink="">
      <xdr:nvSpPr>
        <xdr:cNvPr id="5" name="Chevron 4">
          <a:hlinkClick xmlns:r="http://schemas.openxmlformats.org/officeDocument/2006/relationships" r:id="rId2"/>
        </xdr:cNvPr>
        <xdr:cNvSpPr/>
      </xdr:nvSpPr>
      <xdr:spPr>
        <a:xfrm>
          <a:off x="2319112" y="842305"/>
          <a:ext cx="1566120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23676</xdr:colOff>
      <xdr:row>3</xdr:row>
      <xdr:rowOff>14362</xdr:rowOff>
    </xdr:from>
    <xdr:to>
      <xdr:col>5</xdr:col>
      <xdr:colOff>875415</xdr:colOff>
      <xdr:row>3</xdr:row>
      <xdr:rowOff>87513</xdr:rowOff>
    </xdr:to>
    <xdr:sp macro="" textlink="">
      <xdr:nvSpPr>
        <xdr:cNvPr id="6" name="Chevron 5">
          <a:hlinkClick xmlns:r="http://schemas.openxmlformats.org/officeDocument/2006/relationships" r:id="rId3"/>
        </xdr:cNvPr>
        <xdr:cNvSpPr/>
      </xdr:nvSpPr>
      <xdr:spPr>
        <a:xfrm>
          <a:off x="3855657" y="842304"/>
          <a:ext cx="851739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845395</xdr:colOff>
      <xdr:row>3</xdr:row>
      <xdr:rowOff>14362</xdr:rowOff>
    </xdr:from>
    <xdr:to>
      <xdr:col>6</xdr:col>
      <xdr:colOff>384794</xdr:colOff>
      <xdr:row>3</xdr:row>
      <xdr:rowOff>87513</xdr:rowOff>
    </xdr:to>
    <xdr:sp macro="" textlink="">
      <xdr:nvSpPr>
        <xdr:cNvPr id="7" name="Chevron 6">
          <a:hlinkClick xmlns:r="http://schemas.openxmlformats.org/officeDocument/2006/relationships" r:id="rId4"/>
        </xdr:cNvPr>
        <xdr:cNvSpPr/>
      </xdr:nvSpPr>
      <xdr:spPr>
        <a:xfrm>
          <a:off x="4677376" y="842304"/>
          <a:ext cx="455264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87322</xdr:colOff>
      <xdr:row>3</xdr:row>
      <xdr:rowOff>14654</xdr:rowOff>
    </xdr:from>
    <xdr:to>
      <xdr:col>3</xdr:col>
      <xdr:colOff>351032</xdr:colOff>
      <xdr:row>3</xdr:row>
      <xdr:rowOff>87805</xdr:rowOff>
    </xdr:to>
    <xdr:sp macro="" textlink="">
      <xdr:nvSpPr>
        <xdr:cNvPr id="11" name="Chevron 10">
          <a:hlinkClick xmlns:r="http://schemas.openxmlformats.org/officeDocument/2006/relationships" r:id="rId5"/>
        </xdr:cNvPr>
        <xdr:cNvSpPr/>
      </xdr:nvSpPr>
      <xdr:spPr>
        <a:xfrm>
          <a:off x="1398841" y="842596"/>
          <a:ext cx="952441" cy="73151"/>
        </a:xfrm>
        <a:prstGeom prst="chevron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109398</xdr:colOff>
      <xdr:row>3</xdr:row>
      <xdr:rowOff>490904</xdr:rowOff>
    </xdr:from>
    <xdr:to>
      <xdr:col>0</xdr:col>
      <xdr:colOff>329467</xdr:colOff>
      <xdr:row>3</xdr:row>
      <xdr:rowOff>750636</xdr:rowOff>
    </xdr:to>
    <xdr:pic macro="[0]!UpdateFrontPageShovelList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98" y="1318846"/>
          <a:ext cx="220069" cy="25973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731520</xdr:colOff>
      <xdr:row>3</xdr:row>
      <xdr:rowOff>73151</xdr:rowOff>
    </xdr:to>
    <xdr:sp macro="" textlink="">
      <xdr:nvSpPr>
        <xdr:cNvPr id="18" name="Pentagon 17">
          <a:hlinkClick xmlns:r="http://schemas.openxmlformats.org/officeDocument/2006/relationships" r:id="rId1"/>
        </xdr:cNvPr>
        <xdr:cNvSpPr/>
      </xdr:nvSpPr>
      <xdr:spPr>
        <a:xfrm>
          <a:off x="428625" y="1495425"/>
          <a:ext cx="731520" cy="73151"/>
        </a:xfrm>
        <a:prstGeom prst="homePlate">
          <a:avLst/>
        </a:prstGeom>
        <a:solidFill>
          <a:schemeClr val="accent1">
            <a:lumMod val="75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524862</xdr:colOff>
      <xdr:row>3</xdr:row>
      <xdr:rowOff>1</xdr:rowOff>
    </xdr:from>
    <xdr:to>
      <xdr:col>3</xdr:col>
      <xdr:colOff>341982</xdr:colOff>
      <xdr:row>3</xdr:row>
      <xdr:rowOff>73152</xdr:rowOff>
    </xdr:to>
    <xdr:sp macro="" textlink="">
      <xdr:nvSpPr>
        <xdr:cNvPr id="19" name="Chevron 18">
          <a:hlinkClick xmlns:r="http://schemas.openxmlformats.org/officeDocument/2006/relationships" r:id="rId2"/>
        </xdr:cNvPr>
        <xdr:cNvSpPr/>
      </xdr:nvSpPr>
      <xdr:spPr>
        <a:xfrm>
          <a:off x="1867887" y="1495426"/>
          <a:ext cx="731520" cy="73151"/>
        </a:xfrm>
        <a:prstGeom prst="chevron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339618</xdr:colOff>
      <xdr:row>3</xdr:row>
      <xdr:rowOff>0</xdr:rowOff>
    </xdr:from>
    <xdr:to>
      <xdr:col>4</xdr:col>
      <xdr:colOff>156738</xdr:colOff>
      <xdr:row>3</xdr:row>
      <xdr:rowOff>73151</xdr:rowOff>
    </xdr:to>
    <xdr:sp macro="" textlink="">
      <xdr:nvSpPr>
        <xdr:cNvPr id="20" name="Chevron 19">
          <a:hlinkClick xmlns:r="http://schemas.openxmlformats.org/officeDocument/2006/relationships" r:id="rId3"/>
        </xdr:cNvPr>
        <xdr:cNvSpPr/>
      </xdr:nvSpPr>
      <xdr:spPr>
        <a:xfrm>
          <a:off x="2597043" y="1495425"/>
          <a:ext cx="731520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154373</xdr:colOff>
      <xdr:row>3</xdr:row>
      <xdr:rowOff>0</xdr:rowOff>
    </xdr:from>
    <xdr:to>
      <xdr:col>4</xdr:col>
      <xdr:colOff>885893</xdr:colOff>
      <xdr:row>3</xdr:row>
      <xdr:rowOff>73151</xdr:rowOff>
    </xdr:to>
    <xdr:sp macro="" textlink="">
      <xdr:nvSpPr>
        <xdr:cNvPr id="21" name="Chevron 20">
          <a:hlinkClick xmlns:r="http://schemas.openxmlformats.org/officeDocument/2006/relationships" r:id="rId4"/>
        </xdr:cNvPr>
        <xdr:cNvSpPr/>
      </xdr:nvSpPr>
      <xdr:spPr>
        <a:xfrm>
          <a:off x="3326198" y="1495425"/>
          <a:ext cx="731520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719631</xdr:colOff>
      <xdr:row>3</xdr:row>
      <xdr:rowOff>292</xdr:rowOff>
    </xdr:from>
    <xdr:to>
      <xdr:col>2</xdr:col>
      <xdr:colOff>536751</xdr:colOff>
      <xdr:row>3</xdr:row>
      <xdr:rowOff>73443</xdr:rowOff>
    </xdr:to>
    <xdr:sp macro="" textlink="">
      <xdr:nvSpPr>
        <xdr:cNvPr id="22" name="Chevron 21">
          <a:hlinkClick xmlns:r="http://schemas.openxmlformats.org/officeDocument/2006/relationships" r:id="rId5"/>
        </xdr:cNvPr>
        <xdr:cNvSpPr/>
      </xdr:nvSpPr>
      <xdr:spPr>
        <a:xfrm>
          <a:off x="1148256" y="1495717"/>
          <a:ext cx="731520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192473</xdr:colOff>
      <xdr:row>3</xdr:row>
      <xdr:rowOff>9525</xdr:rowOff>
    </xdr:from>
    <xdr:to>
      <xdr:col>11</xdr:col>
      <xdr:colOff>548708</xdr:colOff>
      <xdr:row>3</xdr:row>
      <xdr:rowOff>82676</xdr:rowOff>
    </xdr:to>
    <xdr:sp macro="[0]!update_hours_sheet" textlink="">
      <xdr:nvSpPr>
        <xdr:cNvPr id="8" name="Chevron 7"/>
        <xdr:cNvSpPr/>
      </xdr:nvSpPr>
      <xdr:spPr>
        <a:xfrm>
          <a:off x="4278698" y="828675"/>
          <a:ext cx="4937760" cy="73151"/>
        </a:xfrm>
        <a:prstGeom prst="chevron">
          <a:avLst/>
        </a:prstGeom>
        <a:solidFill>
          <a:srgbClr val="FFC0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896112</xdr:colOff>
      <xdr:row>3</xdr:row>
      <xdr:rowOff>73151</xdr:rowOff>
    </xdr:to>
    <xdr:sp macro="" textlink="">
      <xdr:nvSpPr>
        <xdr:cNvPr id="12" name="Pentagon 11">
          <a:hlinkClick xmlns:r="http://schemas.openxmlformats.org/officeDocument/2006/relationships" r:id="rId1"/>
        </xdr:cNvPr>
        <xdr:cNvSpPr/>
      </xdr:nvSpPr>
      <xdr:spPr>
        <a:xfrm>
          <a:off x="512885" y="827942"/>
          <a:ext cx="896112" cy="73151"/>
        </a:xfrm>
        <a:prstGeom prst="homePlate">
          <a:avLst/>
        </a:prstGeom>
        <a:solidFill>
          <a:schemeClr val="accent1">
            <a:lumMod val="75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867557</xdr:colOff>
      <xdr:row>3</xdr:row>
      <xdr:rowOff>1</xdr:rowOff>
    </xdr:from>
    <xdr:to>
      <xdr:col>4</xdr:col>
      <xdr:colOff>601946</xdr:colOff>
      <xdr:row>3</xdr:row>
      <xdr:rowOff>73152</xdr:rowOff>
    </xdr:to>
    <xdr:sp macro="" textlink="">
      <xdr:nvSpPr>
        <xdr:cNvPr id="13" name="Chevron 12">
          <a:hlinkClick xmlns:r="http://schemas.openxmlformats.org/officeDocument/2006/relationships" r:id="rId2"/>
        </xdr:cNvPr>
        <xdr:cNvSpPr/>
      </xdr:nvSpPr>
      <xdr:spPr>
        <a:xfrm>
          <a:off x="2296307" y="827943"/>
          <a:ext cx="1566120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572371</xdr:colOff>
      <xdr:row>3</xdr:row>
      <xdr:rowOff>0</xdr:rowOff>
    </xdr:from>
    <xdr:to>
      <xdr:col>5</xdr:col>
      <xdr:colOff>508244</xdr:colOff>
      <xdr:row>3</xdr:row>
      <xdr:rowOff>73151</xdr:rowOff>
    </xdr:to>
    <xdr:sp macro="" textlink="">
      <xdr:nvSpPr>
        <xdr:cNvPr id="14" name="Chevron 13">
          <a:hlinkClick xmlns:r="http://schemas.openxmlformats.org/officeDocument/2006/relationships" r:id="rId3"/>
        </xdr:cNvPr>
        <xdr:cNvSpPr/>
      </xdr:nvSpPr>
      <xdr:spPr>
        <a:xfrm>
          <a:off x="3832852" y="827942"/>
          <a:ext cx="851738" cy="73151"/>
        </a:xfrm>
        <a:prstGeom prst="chevron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478224</xdr:colOff>
      <xdr:row>3</xdr:row>
      <xdr:rowOff>0</xdr:rowOff>
    </xdr:from>
    <xdr:to>
      <xdr:col>6</xdr:col>
      <xdr:colOff>17623</xdr:colOff>
      <xdr:row>3</xdr:row>
      <xdr:rowOff>73151</xdr:rowOff>
    </xdr:to>
    <xdr:sp macro="" textlink="">
      <xdr:nvSpPr>
        <xdr:cNvPr id="15" name="Chevron 14">
          <a:hlinkClick xmlns:r="http://schemas.openxmlformats.org/officeDocument/2006/relationships" r:id="rId4"/>
        </xdr:cNvPr>
        <xdr:cNvSpPr/>
      </xdr:nvSpPr>
      <xdr:spPr>
        <a:xfrm>
          <a:off x="4654570" y="827942"/>
          <a:ext cx="455265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863151</xdr:colOff>
      <xdr:row>3</xdr:row>
      <xdr:rowOff>292</xdr:rowOff>
    </xdr:from>
    <xdr:to>
      <xdr:col>2</xdr:col>
      <xdr:colOff>899727</xdr:colOff>
      <xdr:row>3</xdr:row>
      <xdr:rowOff>73443</xdr:rowOff>
    </xdr:to>
    <xdr:sp macro="" textlink="">
      <xdr:nvSpPr>
        <xdr:cNvPr id="16" name="Chevron 15">
          <a:hlinkClick xmlns:r="http://schemas.openxmlformats.org/officeDocument/2006/relationships" r:id="rId5"/>
        </xdr:cNvPr>
        <xdr:cNvSpPr/>
      </xdr:nvSpPr>
      <xdr:spPr>
        <a:xfrm>
          <a:off x="1376036" y="828234"/>
          <a:ext cx="952441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896112</xdr:colOff>
      <xdr:row>3</xdr:row>
      <xdr:rowOff>73151</xdr:rowOff>
    </xdr:to>
    <xdr:sp macro="" textlink="">
      <xdr:nvSpPr>
        <xdr:cNvPr id="11" name="Pentagon 10">
          <a:hlinkClick xmlns:r="http://schemas.openxmlformats.org/officeDocument/2006/relationships" r:id="rId1"/>
        </xdr:cNvPr>
        <xdr:cNvSpPr/>
      </xdr:nvSpPr>
      <xdr:spPr>
        <a:xfrm>
          <a:off x="512885" y="827942"/>
          <a:ext cx="896112" cy="73151"/>
        </a:xfrm>
        <a:prstGeom prst="homePlate">
          <a:avLst/>
        </a:prstGeom>
        <a:solidFill>
          <a:schemeClr val="accent1">
            <a:lumMod val="75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867557</xdr:colOff>
      <xdr:row>3</xdr:row>
      <xdr:rowOff>1</xdr:rowOff>
    </xdr:from>
    <xdr:to>
      <xdr:col>4</xdr:col>
      <xdr:colOff>601946</xdr:colOff>
      <xdr:row>3</xdr:row>
      <xdr:rowOff>73152</xdr:rowOff>
    </xdr:to>
    <xdr:sp macro="" textlink="">
      <xdr:nvSpPr>
        <xdr:cNvPr id="12" name="Chevron 11">
          <a:hlinkClick xmlns:r="http://schemas.openxmlformats.org/officeDocument/2006/relationships" r:id="rId2"/>
        </xdr:cNvPr>
        <xdr:cNvSpPr/>
      </xdr:nvSpPr>
      <xdr:spPr>
        <a:xfrm>
          <a:off x="2296307" y="827943"/>
          <a:ext cx="1566120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572371</xdr:colOff>
      <xdr:row>3</xdr:row>
      <xdr:rowOff>0</xdr:rowOff>
    </xdr:from>
    <xdr:to>
      <xdr:col>5</xdr:col>
      <xdr:colOff>508244</xdr:colOff>
      <xdr:row>3</xdr:row>
      <xdr:rowOff>73151</xdr:rowOff>
    </xdr:to>
    <xdr:sp macro="" textlink="">
      <xdr:nvSpPr>
        <xdr:cNvPr id="17" name="Chevron 16">
          <a:hlinkClick xmlns:r="http://schemas.openxmlformats.org/officeDocument/2006/relationships" r:id="rId3"/>
        </xdr:cNvPr>
        <xdr:cNvSpPr/>
      </xdr:nvSpPr>
      <xdr:spPr>
        <a:xfrm>
          <a:off x="3832852" y="827942"/>
          <a:ext cx="851738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478224</xdr:colOff>
      <xdr:row>3</xdr:row>
      <xdr:rowOff>0</xdr:rowOff>
    </xdr:from>
    <xdr:to>
      <xdr:col>6</xdr:col>
      <xdr:colOff>17623</xdr:colOff>
      <xdr:row>3</xdr:row>
      <xdr:rowOff>73151</xdr:rowOff>
    </xdr:to>
    <xdr:sp macro="" textlink="">
      <xdr:nvSpPr>
        <xdr:cNvPr id="18" name="Chevron 17">
          <a:hlinkClick xmlns:r="http://schemas.openxmlformats.org/officeDocument/2006/relationships" r:id="rId4"/>
        </xdr:cNvPr>
        <xdr:cNvSpPr/>
      </xdr:nvSpPr>
      <xdr:spPr>
        <a:xfrm>
          <a:off x="4654570" y="827942"/>
          <a:ext cx="455265" cy="73151"/>
        </a:xfrm>
        <a:prstGeom prst="chevron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863151</xdr:colOff>
      <xdr:row>3</xdr:row>
      <xdr:rowOff>292</xdr:rowOff>
    </xdr:from>
    <xdr:to>
      <xdr:col>2</xdr:col>
      <xdr:colOff>899727</xdr:colOff>
      <xdr:row>3</xdr:row>
      <xdr:rowOff>73443</xdr:rowOff>
    </xdr:to>
    <xdr:sp macro="" textlink="">
      <xdr:nvSpPr>
        <xdr:cNvPr id="19" name="Chevron 18">
          <a:hlinkClick xmlns:r="http://schemas.openxmlformats.org/officeDocument/2006/relationships" r:id="rId5"/>
        </xdr:cNvPr>
        <xdr:cNvSpPr/>
      </xdr:nvSpPr>
      <xdr:spPr>
        <a:xfrm>
          <a:off x="1376036" y="828234"/>
          <a:ext cx="952441" cy="73151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1</xdr:row>
      <xdr:rowOff>9525</xdr:rowOff>
    </xdr:to>
    <xdr:sp macro="" textlink="">
      <xdr:nvSpPr>
        <xdr:cNvPr id="2" name="Right Arrow 1">
          <a:hlinkClick xmlns:r="http://schemas.openxmlformats.org/officeDocument/2006/relationships" r:id="rId1"/>
        </xdr:cNvPr>
        <xdr:cNvSpPr/>
      </xdr:nvSpPr>
      <xdr:spPr>
        <a:xfrm rot="-8100000">
          <a:off x="14287" y="-14287"/>
          <a:ext cx="257175" cy="28575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444505</xdr:colOff>
      <xdr:row>2</xdr:row>
      <xdr:rowOff>190500</xdr:rowOff>
    </xdr:from>
    <xdr:to>
      <xdr:col>28</xdr:col>
      <xdr:colOff>327665</xdr:colOff>
      <xdr:row>2</xdr:row>
      <xdr:rowOff>190500</xdr:rowOff>
    </xdr:to>
    <xdr:cxnSp macro="">
      <xdr:nvCxnSpPr>
        <xdr:cNvPr id="6" name="Straight Arrow Connector 5"/>
        <xdr:cNvCxnSpPr/>
      </xdr:nvCxnSpPr>
      <xdr:spPr>
        <a:xfrm flipH="1">
          <a:off x="19991922" y="677333"/>
          <a:ext cx="3566160" cy="0"/>
        </a:xfrm>
        <a:prstGeom prst="straightConnector1">
          <a:avLst/>
        </a:prstGeom>
        <a:ln w="12700">
          <a:solidFill>
            <a:schemeClr val="tx1"/>
          </a:solidFill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359833</xdr:colOff>
      <xdr:row>9</xdr:row>
      <xdr:rowOff>127002</xdr:rowOff>
    </xdr:from>
    <xdr:to>
      <xdr:col>24</xdr:col>
      <xdr:colOff>275167</xdr:colOff>
      <xdr:row>9</xdr:row>
      <xdr:rowOff>127002</xdr:rowOff>
    </xdr:to>
    <xdr:cxnSp macro="">
      <xdr:nvCxnSpPr>
        <xdr:cNvPr id="14" name="Straight Arrow Connector 13"/>
        <xdr:cNvCxnSpPr/>
      </xdr:nvCxnSpPr>
      <xdr:spPr>
        <a:xfrm flipH="1">
          <a:off x="19907250" y="2836335"/>
          <a:ext cx="1143000" cy="0"/>
        </a:xfrm>
        <a:prstGeom prst="straightConnector1">
          <a:avLst/>
        </a:prstGeom>
        <a:ln w="12700">
          <a:solidFill>
            <a:schemeClr val="tx1"/>
          </a:solidFill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306916</xdr:colOff>
      <xdr:row>9</xdr:row>
      <xdr:rowOff>127001</xdr:rowOff>
    </xdr:from>
    <xdr:to>
      <xdr:col>28</xdr:col>
      <xdr:colOff>296333</xdr:colOff>
      <xdr:row>9</xdr:row>
      <xdr:rowOff>127001</xdr:rowOff>
    </xdr:to>
    <xdr:cxnSp macro="">
      <xdr:nvCxnSpPr>
        <xdr:cNvPr id="4" name="Straight Connector 3"/>
        <xdr:cNvCxnSpPr/>
      </xdr:nvCxnSpPr>
      <xdr:spPr>
        <a:xfrm>
          <a:off x="21695833" y="2836334"/>
          <a:ext cx="18309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15463</xdr:colOff>
      <xdr:row>1</xdr:row>
      <xdr:rowOff>181221</xdr:rowOff>
    </xdr:from>
    <xdr:to>
      <xdr:col>2</xdr:col>
      <xdr:colOff>635219</xdr:colOff>
      <xdr:row>4</xdr:row>
      <xdr:rowOff>98294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63" y="432335"/>
          <a:ext cx="2420847" cy="696391"/>
        </a:xfrm>
        <a:prstGeom prst="rect">
          <a:avLst/>
        </a:prstGeom>
      </xdr:spPr>
    </xdr:pic>
    <xdr:clientData/>
  </xdr:twoCellAnchor>
  <xdr:twoCellAnchor>
    <xdr:from>
      <xdr:col>0</xdr:col>
      <xdr:colOff>27611</xdr:colOff>
      <xdr:row>0</xdr:row>
      <xdr:rowOff>45910</xdr:rowOff>
    </xdr:from>
    <xdr:to>
      <xdr:col>0</xdr:col>
      <xdr:colOff>223404</xdr:colOff>
      <xdr:row>0</xdr:row>
      <xdr:rowOff>205105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 rot="-8100000">
          <a:off x="45910" y="27611"/>
          <a:ext cx="159195" cy="195793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T43"/>
  <sheetViews>
    <sheetView showGridLines="0" zoomScale="70" zoomScaleNormal="70" workbookViewId="0">
      <pane ySplit="8" topLeftCell="A9" activePane="bottomLeft" state="frozen"/>
      <selection pane="bottomLeft" activeCell="M14" sqref="M14"/>
    </sheetView>
  </sheetViews>
  <sheetFormatPr defaultRowHeight="20.100000000000001" customHeight="1" x14ac:dyDescent="0.2"/>
  <cols>
    <col min="1" max="1" width="4.42578125" style="2" customWidth="1"/>
    <col min="2" max="2" width="1.85546875" style="2" customWidth="1"/>
    <col min="3" max="4" width="12.28515625" style="2" customWidth="1"/>
    <col min="5" max="5" width="16" style="2" customWidth="1"/>
    <col min="6" max="6" width="24.7109375" style="2" customWidth="1"/>
    <col min="7" max="7" width="20" style="30" customWidth="1"/>
    <col min="8" max="8" width="19.28515625" style="30" customWidth="1"/>
    <col min="9" max="9" width="22.140625" style="30" customWidth="1"/>
    <col min="10" max="10" width="22.42578125" style="57" customWidth="1"/>
    <col min="11" max="11" width="21.5703125" style="57" customWidth="1"/>
    <col min="12" max="12" width="19.140625" style="2" customWidth="1"/>
    <col min="13" max="13" width="17.140625" style="2" customWidth="1"/>
    <col min="14" max="14" width="15.85546875" style="2" customWidth="1"/>
    <col min="15" max="15" width="27" style="2" customWidth="1"/>
    <col min="16" max="20" width="10.7109375" style="2" customWidth="1"/>
    <col min="21" max="16384" width="9.140625" style="2"/>
  </cols>
  <sheetData>
    <row r="1" spans="3:20" ht="7.5" customHeight="1" x14ac:dyDescent="0.2">
      <c r="P1" s="48"/>
      <c r="Q1" s="48"/>
      <c r="R1" s="51"/>
      <c r="S1" s="49"/>
      <c r="T1" s="52"/>
    </row>
    <row r="2" spans="3:20" ht="53.25" customHeight="1" thickBot="1" x14ac:dyDescent="0.25">
      <c r="C2" s="174" t="s">
        <v>50</v>
      </c>
      <c r="D2" s="88"/>
      <c r="E2" s="88"/>
      <c r="F2" s="85"/>
      <c r="G2" s="86"/>
      <c r="H2" s="86"/>
      <c r="I2" s="86"/>
      <c r="J2" s="87"/>
      <c r="K2" s="87"/>
      <c r="L2" s="85"/>
      <c r="M2" s="176" t="str">
        <f>"v"&amp;About!C10</f>
        <v>v3.8</v>
      </c>
      <c r="O2" s="175" t="s">
        <v>101</v>
      </c>
      <c r="P2" s="83"/>
      <c r="Q2" s="83"/>
      <c r="R2" s="83"/>
      <c r="S2" s="83"/>
      <c r="T2" s="83"/>
    </row>
    <row r="3" spans="3:20" ht="24" customHeight="1" x14ac:dyDescent="0.2">
      <c r="C3" s="177"/>
      <c r="D3" s="177"/>
      <c r="E3" s="177"/>
      <c r="F3" s="177"/>
      <c r="G3" s="178"/>
      <c r="H3" s="178"/>
      <c r="I3" s="178"/>
      <c r="J3" s="179"/>
      <c r="K3" s="179"/>
      <c r="L3" s="177"/>
      <c r="M3" s="180"/>
      <c r="O3" s="84" t="s">
        <v>92</v>
      </c>
      <c r="P3" s="192">
        <v>15</v>
      </c>
      <c r="Q3" s="193">
        <v>12</v>
      </c>
      <c r="R3" s="194">
        <v>9</v>
      </c>
      <c r="S3" s="195">
        <v>0</v>
      </c>
      <c r="T3" s="196">
        <v>-12</v>
      </c>
    </row>
    <row r="4" spans="3:20" ht="24" customHeight="1" x14ac:dyDescent="0.2">
      <c r="C4" s="177"/>
      <c r="D4" s="177"/>
      <c r="E4" s="177"/>
      <c r="F4" s="177"/>
      <c r="G4" s="178"/>
      <c r="H4" s="178"/>
      <c r="I4" s="178"/>
      <c r="J4" s="179"/>
      <c r="K4" s="179"/>
      <c r="L4" s="177"/>
      <c r="M4" s="180"/>
      <c r="O4" s="84" t="s">
        <v>29</v>
      </c>
      <c r="P4" s="197">
        <v>600</v>
      </c>
      <c r="Q4" s="198">
        <v>1200</v>
      </c>
      <c r="R4" s="199">
        <v>1800</v>
      </c>
      <c r="S4" s="200">
        <v>2400</v>
      </c>
      <c r="T4" s="201">
        <v>3000</v>
      </c>
    </row>
    <row r="5" spans="3:20" ht="24" customHeight="1" x14ac:dyDescent="0.2">
      <c r="C5" s="177"/>
      <c r="D5" s="177"/>
      <c r="E5" s="177"/>
      <c r="F5" s="177"/>
      <c r="G5" s="178"/>
      <c r="H5" s="178"/>
      <c r="I5" s="178"/>
      <c r="J5" s="179"/>
      <c r="K5" s="179"/>
      <c r="L5" s="177"/>
      <c r="M5" s="180"/>
      <c r="O5" s="84" t="s">
        <v>37</v>
      </c>
      <c r="P5" s="202">
        <v>7.0000000000000007E-2</v>
      </c>
      <c r="Q5" s="203">
        <v>6.5000000000000002E-2</v>
      </c>
      <c r="R5" s="204"/>
      <c r="S5" s="205"/>
      <c r="T5" s="206">
        <v>0.2</v>
      </c>
    </row>
    <row r="6" spans="3:20" ht="24" customHeight="1" x14ac:dyDescent="0.2">
      <c r="C6" s="177"/>
      <c r="D6" s="177"/>
      <c r="E6" s="177"/>
      <c r="F6" s="177"/>
      <c r="G6" s="178"/>
      <c r="H6" s="178"/>
      <c r="I6" s="178"/>
      <c r="J6" s="179"/>
      <c r="K6" s="179"/>
      <c r="L6" s="177"/>
      <c r="M6" s="180"/>
      <c r="O6" s="84" t="s">
        <v>40</v>
      </c>
      <c r="P6" s="197">
        <v>3</v>
      </c>
      <c r="Q6" s="198">
        <v>6</v>
      </c>
      <c r="R6" s="199">
        <v>9</v>
      </c>
      <c r="S6" s="200">
        <v>12</v>
      </c>
      <c r="T6" s="201">
        <v>15</v>
      </c>
    </row>
    <row r="7" spans="3:20" ht="22.5" customHeight="1" thickBot="1" x14ac:dyDescent="0.25">
      <c r="C7" s="186"/>
      <c r="D7" s="186"/>
      <c r="E7" s="186"/>
      <c r="F7" s="186"/>
      <c r="G7" s="187"/>
      <c r="H7" s="187"/>
      <c r="I7" s="187"/>
      <c r="J7" s="188"/>
      <c r="K7" s="188"/>
      <c r="L7" s="186"/>
      <c r="M7" s="186"/>
      <c r="O7" s="173" t="s">
        <v>27</v>
      </c>
      <c r="P7" s="207">
        <v>1</v>
      </c>
      <c r="Q7" s="208">
        <v>2</v>
      </c>
      <c r="R7" s="209">
        <v>3</v>
      </c>
      <c r="S7" s="210">
        <v>4</v>
      </c>
      <c r="T7" s="211">
        <v>5</v>
      </c>
    </row>
    <row r="8" spans="3:20" s="40" customFormat="1" ht="117.75" customHeight="1" x14ac:dyDescent="0.2">
      <c r="C8" s="181" t="s">
        <v>9</v>
      </c>
      <c r="D8" s="181" t="s">
        <v>62</v>
      </c>
      <c r="E8" s="181" t="s">
        <v>67</v>
      </c>
      <c r="F8" s="182" t="s">
        <v>73</v>
      </c>
      <c r="G8" s="182" t="s">
        <v>72</v>
      </c>
      <c r="H8" s="182" t="s">
        <v>74</v>
      </c>
      <c r="I8" s="183" t="s">
        <v>90</v>
      </c>
      <c r="J8" s="183" t="s">
        <v>91</v>
      </c>
      <c r="K8" s="184" t="s">
        <v>94</v>
      </c>
      <c r="L8" s="181" t="s">
        <v>93</v>
      </c>
      <c r="M8" s="185" t="s">
        <v>27</v>
      </c>
      <c r="O8" s="53"/>
      <c r="P8" s="58"/>
      <c r="Q8" s="59"/>
      <c r="R8" s="50"/>
    </row>
    <row r="9" spans="3:20" ht="26.1" customHeight="1" x14ac:dyDescent="0.2">
      <c r="C9" s="189" t="s">
        <v>18</v>
      </c>
      <c r="D9" s="121" t="str">
        <f>IF(INDEX(C:C,ROW(),1)="","",INDEX('Track Installation'!C:C,MATCH(INDEX(C:C,ROW(),1),'Track Installation'!D:D,FALSE),1))</f>
        <v>BI</v>
      </c>
      <c r="E9" s="121" t="str">
        <f>IF(INDEX(C:C,ROW(),1)="","",INDEX('Track Installation'!B:B,MATCH(INDEX(C:C,ROW(),1),'Track Installation'!D:D,FALSE),1))</f>
        <v>Base Mine</v>
      </c>
      <c r="F9" s="108">
        <f t="array" ref="F9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40308</v>
      </c>
      <c r="G9" s="107">
        <f t="array" ref="G9">IF(OR(INDEX(C:C,ROW(),1)="",INDEX(F:F,ROW(),1)=""),"",SUMPRODUCT(('Track Installation'!D$5:D$53=INDEX(C:C,ROW(),1))*('Track Installation'!E$5:E$53=INDEX(F:F,ROW(),1)),('Track Installation'!I$5:I$53)))</f>
        <v>41639</v>
      </c>
      <c r="H9" s="110">
        <f t="shared" ref="H9:H43" ca="1" si="0">IF(INDEX($F$1:$F$43,ROW(),1)="","",(INDEX(G:G,ROW(),1)-DATE(YEAR(TODAY()),MONTH(TODAY())+1,DAY(0)))/30)</f>
        <v>-15.166666666666666</v>
      </c>
      <c r="I9" s="113">
        <f t="array" ref="I9">IF(INDEX($F:$F,ROW(),1)="","",IFERROR(INDEX(Hours!$H$5:$H$604,MATCH(1,(Hours!$C$5:$C$604=INDEX($C:$C,ROW(),1))*(Hours!$B$5:$B$604=MAX(IF(Hours!$C$5:$C$604=INDEX($C:$C,ROW(),1),Hours!$B$5:$B$604))),0)),""))</f>
        <v>0</v>
      </c>
      <c r="J9" s="169" t="str">
        <f t="array" ref="J9">IF(INDEX($F:$F,ROW(),1)="","",IFERROR(INDEX(Hours!$L$5:$L$604,MATCH(1,(Hours!$C$5:$C$604=INDEX($C:$C,ROW(),1))*(Hours!$B$5:$B$604=MAX(IF(Hours!$C$5:$C$604=INDEX($C:$C,ROW(),1),Hours!$B$5:$B$604))),0)),""))</f>
        <v/>
      </c>
      <c r="K9" s="172" t="str">
        <f t="array" aca="1" ref="K9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9" s="110" t="str">
        <f t="shared" ref="L9:L43" ca="1" si="1">IFERROR((INDEX(K:K,ROW(),1)-TODAY())/30,"")</f>
        <v/>
      </c>
      <c r="M9" s="89" t="str">
        <f t="array" ref="M9">IF(INDEX(C:C,ROW(),1)="","",IFERROR(INDEX(Thickness!$I$5:$I$604,MATCH(1,(Thickness!$C$5:$C$604=INDEX(C:C,ROW(),1))*(Thickness!$B$5:$B$604=MAX(IF(Thickness!$C$5:$C$604=INDEX(C:C,ROW(),1),Thickness!$B$5:$B$604))),0)),""))</f>
        <v/>
      </c>
      <c r="P9" s="60"/>
      <c r="Q9" s="61"/>
    </row>
    <row r="10" spans="3:20" ht="26.1" customHeight="1" x14ac:dyDescent="0.2">
      <c r="C10" s="190" t="s">
        <v>20</v>
      </c>
      <c r="D10" s="122" t="str">
        <f>IF(INDEX(C:C,ROW(),1)="","",INDEX('Track Installation'!C:C,MATCH(INDEX(C:C,ROW(),1),'Track Installation'!D:D,FALSE),1))</f>
        <v>P&amp;H</v>
      </c>
      <c r="E10" s="122" t="str">
        <f>IF(INDEX(C:C,ROW(),1)="","",INDEX('Track Installation'!B:B,MATCH(INDEX(C:C,ROW(),1),'Track Installation'!D:D,FALSE),1))</f>
        <v>Base Mine</v>
      </c>
      <c r="F10" s="108">
        <f t="array" ref="F10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40626</v>
      </c>
      <c r="G10" s="104">
        <f t="array" ref="G10">IF(OR(INDEX(C:C,ROW(),1)="",INDEX(F:F,ROW(),1)=""),"",SUMPRODUCT(('Track Installation'!D$5:D$53=INDEX(C:C,ROW(),1))*('Track Installation'!E$5:E$53=INDEX(F:F,ROW(),1)),('Track Installation'!I$5:I$53)))</f>
        <v>41943</v>
      </c>
      <c r="H10" s="111">
        <f t="shared" ca="1" si="0"/>
        <v>-5.0333333333333332</v>
      </c>
      <c r="I10" s="114">
        <f t="array" ref="I10">IF(INDEX($F:$F,ROW(),1)="","",IFERROR(INDEX(Hours!$H$5:$H$604,MATCH(1,(Hours!$C$5:$C$604=INDEX($C:$C,ROW(),1))*(Hours!$B$5:$B$604=MAX(IF(Hours!$C$5:$C$604=INDEX($C:$C,ROW(),1),Hours!$B$5:$B$604))),0)),""))</f>
        <v>0</v>
      </c>
      <c r="J10" s="170" t="str">
        <f t="array" ref="J10">IF(INDEX($F:$F,ROW(),1)="","",IFERROR(INDEX(Hours!$L$5:$L$604,MATCH(1,(Hours!$C$5:$C$604=INDEX($C:$C,ROW(),1))*(Hours!$B$5:$B$604=MAX(IF(Hours!$C$5:$C$604=INDEX($C:$C,ROW(),1),Hours!$B$5:$B$604))),0)),""))</f>
        <v/>
      </c>
      <c r="K10" s="108" t="str">
        <f t="array" aca="1" ref="K10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10" s="111" t="str">
        <f t="shared" ca="1" si="1"/>
        <v/>
      </c>
      <c r="M10" s="90" t="str">
        <f t="array" ref="M10">IF(INDEX(C:C,ROW(),1)="","",IFERROR(INDEX(Thickness!$I$5:$I$604,MATCH(1,(Thickness!$C$5:$C$604=INDEX(C:C,ROW(),1))*(Thickness!$B$5:$B$604=MAX(IF(Thickness!$C$5:$C$604=INDEX(C:C,ROW(),1),Thickness!$B$5:$B$604))),0)),""))</f>
        <v/>
      </c>
      <c r="P10" s="60"/>
      <c r="Q10" s="61"/>
    </row>
    <row r="11" spans="3:20" ht="26.1" customHeight="1" x14ac:dyDescent="0.2">
      <c r="C11" s="190" t="s">
        <v>59</v>
      </c>
      <c r="D11" s="122" t="str">
        <f>IF(INDEX(C:C,ROW(),1)="","",INDEX('Track Installation'!C:C,MATCH(INDEX(C:C,ROW(),1),'Track Installation'!D:D,FALSE),1))</f>
        <v>BI</v>
      </c>
      <c r="E11" s="122" t="str">
        <f>IF(INDEX(C:C,ROW(),1)="","",INDEX('Track Installation'!B:B,MATCH(INDEX(C:C,ROW(),1),'Track Installation'!D:D,FALSE),1))</f>
        <v>Aurora</v>
      </c>
      <c r="F11" s="108">
        <f t="array" ref="F11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40674</v>
      </c>
      <c r="G11" s="104">
        <f t="array" ref="G11">IF(OR(INDEX(C:C,ROW(),1)="",INDEX(F:F,ROW(),1)=""),"",SUMPRODUCT(('Track Installation'!D$5:D$53=INDEX(C:C,ROW(),1))*('Track Installation'!E$5:E$53=INDEX(F:F,ROW(),1)),('Track Installation'!I$5:I$53)))</f>
        <v>42004</v>
      </c>
      <c r="H11" s="111">
        <f t="shared" ca="1" si="0"/>
        <v>-3</v>
      </c>
      <c r="I11" s="114">
        <f t="array" ref="I11">IF(INDEX($F:$F,ROW(),1)="","",IFERROR(INDEX(Hours!$H$5:$H$604,MATCH(1,(Hours!$C$5:$C$604=INDEX($C:$C,ROW(),1))*(Hours!$B$5:$B$604=MAX(IF(Hours!$C$5:$C$604=INDEX($C:$C,ROW(),1),Hours!$B$5:$B$604))),0)),""))</f>
        <v>6.6275256532317778E-2</v>
      </c>
      <c r="J11" s="170">
        <f t="array" ref="J11">IF(INDEX($F:$F,ROW(),1)="","",IFERROR(INDEX(Hours!$L$5:$L$604,MATCH(1,(Hours!$C$5:$C$604=INDEX($C:$C,ROW(),1))*(Hours!$B$5:$B$604=MAX(IF(Hours!$C$5:$C$604=INDEX($C:$C,ROW(),1),Hours!$B$5:$B$604))),0)),""))</f>
        <v>7.8125E-2</v>
      </c>
      <c r="K11" s="108">
        <f t="array" aca="1" ref="K11" ca="1">IF(INDEX($F:$F,ROW(),1)="","",IFERROR(DATE(YEAR(TODAY()),MONTH(TODAY())+1+INDEX(Hours!$I$5:$I$604,MATCH(1,(Hours!$C$5:$C$604=INDEX($C:$C,ROW(),1))*(Hours!$B$5:$B$604=MAX(IF(Hours!$C$5:$C$604=INDEX($C:$C,ROW(),1),Hours!$B$5:$B$604))),0)),DAY(0)),""))</f>
        <v>42490</v>
      </c>
      <c r="L11" s="111">
        <f t="shared" ca="1" si="1"/>
        <v>13.333333333333334</v>
      </c>
      <c r="M11" s="90" t="str">
        <f t="array" ref="M11">IF(INDEX(C:C,ROW(),1)="","",IFERROR(INDEX(Thickness!$I$5:$I$604,MATCH(1,(Thickness!$C$5:$C$604=INDEX(C:C,ROW(),1))*(Thickness!$B$5:$B$604=MAX(IF(Thickness!$C$5:$C$604=INDEX(C:C,ROW(),1),Thickness!$B$5:$B$604))),0)),""))</f>
        <v/>
      </c>
      <c r="P11" s="60"/>
      <c r="Q11" s="61"/>
    </row>
    <row r="12" spans="3:20" ht="26.1" customHeight="1" x14ac:dyDescent="0.2">
      <c r="C12" s="190" t="s">
        <v>60</v>
      </c>
      <c r="D12" s="122" t="str">
        <f>IF(INDEX(C:C,ROW(),1)="","",INDEX('Track Installation'!C:C,MATCH(INDEX(C:C,ROW(),1),'Track Installation'!D:D,FALSE),1))</f>
        <v>BI</v>
      </c>
      <c r="E12" s="122" t="str">
        <f>IF(INDEX(C:C,ROW(),1)="","",INDEX('Track Installation'!B:B,MATCH(INDEX(C:C,ROW(),1),'Track Installation'!D:D,FALSE),1))</f>
        <v>Aurora</v>
      </c>
      <c r="F12" s="108">
        <f t="array" ref="F12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41085</v>
      </c>
      <c r="G12" s="104">
        <f t="array" ref="G12">IF(OR(INDEX(C:C,ROW(),1)="",INDEX(F:F,ROW(),1)=""),"",SUMPRODUCT(('Track Installation'!D$5:D$53=INDEX(C:C,ROW(),1))*('Track Installation'!E$5:E$53=INDEX(F:F,ROW(),1)),('Track Installation'!I$5:I$53)))</f>
        <v>42400</v>
      </c>
      <c r="H12" s="111">
        <f t="shared" ca="1" si="0"/>
        <v>10.199999999999999</v>
      </c>
      <c r="I12" s="114">
        <f t="array" ref="I12">IF(INDEX($F:$F,ROW(),1)="","",IFERROR(INDEX(Hours!$H$5:$H$604,MATCH(1,(Hours!$C$5:$C$604=INDEX($C:$C,ROW(),1))*(Hours!$B$5:$B$604=MAX(IF(Hours!$C$5:$C$604=INDEX($C:$C,ROW(),1),Hours!$B$5:$B$604))),0)),""))</f>
        <v>5.303938014218388E-2</v>
      </c>
      <c r="J12" s="170">
        <f t="array" ref="J12">IF(INDEX($F:$F,ROW(),1)="","",IFERROR(INDEX(Hours!$L$5:$L$604,MATCH(1,(Hours!$C$5:$C$604=INDEX($C:$C,ROW(),1))*(Hours!$B$5:$B$604=MAX(IF(Hours!$C$5:$C$604=INDEX($C:$C,ROW(),1),Hours!$B$5:$B$604))),0)),""))</f>
        <v>8.1775700934579434E-2</v>
      </c>
      <c r="K12" s="108">
        <f t="array" aca="1" ref="K12" ca="1">IF(INDEX($F:$F,ROW(),1)="","",IFERROR(DATE(YEAR(TODAY()),MONTH(TODAY())+1+INDEX(Hours!$I$5:$I$604,MATCH(1,(Hours!$C$5:$C$604=INDEX($C:$C,ROW(),1))*(Hours!$B$5:$B$604=MAX(IF(Hours!$C$5:$C$604=INDEX($C:$C,ROW(),1),Hours!$B$5:$B$604))),0)),DAY(0)),""))</f>
        <v>43159</v>
      </c>
      <c r="L12" s="111">
        <f t="shared" ca="1" si="1"/>
        <v>35.633333333333333</v>
      </c>
      <c r="M12" s="90" t="str">
        <f t="array" ref="M12">IF(INDEX(C:C,ROW(),1)="","",IFERROR(INDEX(Thickness!$I$5:$I$604,MATCH(1,(Thickness!$C$5:$C$604=INDEX(C:C,ROW(),1))*(Thickness!$B$5:$B$604=MAX(IF(Thickness!$C$5:$C$604=INDEX(C:C,ROW(),1),Thickness!$B$5:$B$604))),0)),""))</f>
        <v/>
      </c>
      <c r="P12" s="60"/>
      <c r="Q12" s="61"/>
    </row>
    <row r="13" spans="3:20" ht="26.1" customHeight="1" x14ac:dyDescent="0.2">
      <c r="C13" s="190" t="s">
        <v>57</v>
      </c>
      <c r="D13" s="122" t="str">
        <f>IF(INDEX(C:C,ROW(),1)="","",INDEX('Track Installation'!C:C,MATCH(INDEX(C:C,ROW(),1),'Track Installation'!D:D,FALSE),1))</f>
        <v>P&amp;H</v>
      </c>
      <c r="E13" s="122" t="str">
        <f>IF(INDEX(C:C,ROW(),1)="","",INDEX('Track Installation'!B:B,MATCH(INDEX(C:C,ROW(),1),'Track Installation'!D:D,FALSE),1))</f>
        <v>Aurora</v>
      </c>
      <c r="F13" s="108">
        <f t="array" ref="F13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41182</v>
      </c>
      <c r="G13" s="104">
        <f t="array" ref="G13">IF(OR(INDEX(C:C,ROW(),1)="",INDEX(F:F,ROW(),1)=""),"",SUMPRODUCT(('Track Installation'!D$5:D$53=INDEX(C:C,ROW(),1))*('Track Installation'!E$5:E$53=INDEX(F:F,ROW(),1)),('Track Installation'!I$5:I$53)))</f>
        <v>42490</v>
      </c>
      <c r="H13" s="111">
        <f t="shared" ca="1" si="0"/>
        <v>13.2</v>
      </c>
      <c r="I13" s="114">
        <f t="array" ref="I13">IF(INDEX($F:$F,ROW(),1)="","",IFERROR(INDEX(Hours!$H$5:$H$604,MATCH(1,(Hours!$C$5:$C$604=INDEX($C:$C,ROW(),1))*(Hours!$B$5:$B$604=MAX(IF(Hours!$C$5:$C$604=INDEX($C:$C,ROW(),1),Hours!$B$5:$B$604))),0)),""))</f>
        <v>8.2158872517616915E-2</v>
      </c>
      <c r="J13" s="170">
        <f t="array" ref="J13">IF(INDEX($F:$F,ROW(),1)="","",IFERROR(INDEX(Hours!$L$5:$L$604,MATCH(1,(Hours!$C$5:$C$604=INDEX($C:$C,ROW(),1))*(Hours!$B$5:$B$604=MAX(IF(Hours!$C$5:$C$604=INDEX($C:$C,ROW(),1),Hours!$B$5:$B$604))),0)),""))</f>
        <v>8.4870848708487087E-2</v>
      </c>
      <c r="K13" s="108">
        <f t="array" aca="1" ref="K13" ca="1">IF(INDEX($F:$F,ROW(),1)="","",IFERROR(DATE(YEAR(TODAY()),MONTH(TODAY())+1+INDEX(Hours!$I$5:$I$604,MATCH(1,(Hours!$C$5:$C$604=INDEX($C:$C,ROW(),1))*(Hours!$B$5:$B$604=MAX(IF(Hours!$C$5:$C$604=INDEX($C:$C,ROW(),1),Hours!$B$5:$B$604))),0)),DAY(0)),""))</f>
        <v>42551</v>
      </c>
      <c r="L13" s="111">
        <f t="shared" ca="1" si="1"/>
        <v>15.366666666666667</v>
      </c>
      <c r="M13" s="90" t="str">
        <f t="array" ref="M13">IF(INDEX(C:C,ROW(),1)="","",IFERROR(INDEX(Thickness!$I$5:$I$604,MATCH(1,(Thickness!$C$5:$C$604=INDEX(C:C,ROW(),1))*(Thickness!$B$5:$B$604=MAX(IF(Thickness!$C$5:$C$604=INDEX(C:C,ROW(),1),Thickness!$B$5:$B$604))),0)),""))</f>
        <v/>
      </c>
      <c r="P13" s="60"/>
      <c r="Q13" s="61"/>
    </row>
    <row r="14" spans="3:20" ht="26.1" customHeight="1" x14ac:dyDescent="0.2">
      <c r="C14" s="190" t="s">
        <v>12</v>
      </c>
      <c r="D14" s="122" t="str">
        <f>IF(INDEX(C:C,ROW(),1)="","",INDEX('Track Installation'!C:C,MATCH(INDEX(C:C,ROW(),1),'Track Installation'!D:D,FALSE),1))</f>
        <v>P&amp;H</v>
      </c>
      <c r="E14" s="122" t="str">
        <f>IF(INDEX(C:C,ROW(),1)="","",INDEX('Track Installation'!B:B,MATCH(INDEX(C:C,ROW(),1),'Track Installation'!D:D,FALSE),1))</f>
        <v>Base Mine</v>
      </c>
      <c r="F14" s="108">
        <f t="array" ref="F14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41220</v>
      </c>
      <c r="G14" s="104">
        <f t="array" ref="G14">IF(OR(INDEX(C:C,ROW(),1)="",INDEX(F:F,ROW(),1)=""),"",SUMPRODUCT(('Track Installation'!D$5:D$53=INDEX(C:C,ROW(),1))*('Track Installation'!E$5:E$53=INDEX(F:F,ROW(),1)),('Track Installation'!I$5:I$53)))</f>
        <v>42551</v>
      </c>
      <c r="H14" s="111">
        <f t="shared" ca="1" si="0"/>
        <v>15.233333333333333</v>
      </c>
      <c r="I14" s="114">
        <f t="array" ref="I14">IF(INDEX($F:$F,ROW(),1)="","",IFERROR(INDEX(Hours!$H$5:$H$604,MATCH(1,(Hours!$C$5:$C$604=INDEX($C:$C,ROW(),1))*(Hours!$B$5:$B$604=MAX(IF(Hours!$C$5:$C$604=INDEX($C:$C,ROW(),1),Hours!$B$5:$B$604))),0)),""))</f>
        <v>5.1574623459607484E-2</v>
      </c>
      <c r="J14" s="170">
        <f t="array" ref="J14">IF(INDEX($F:$F,ROW(),1)="","",IFERROR(INDEX(Hours!$L$5:$L$604,MATCH(1,(Hours!$C$5:$C$604=INDEX($C:$C,ROW(),1))*(Hours!$B$5:$B$604=MAX(IF(Hours!$C$5:$C$604=INDEX($C:$C,ROW(),1),Hours!$B$5:$B$604))),0)),""))</f>
        <v>3.487179487179487E-2</v>
      </c>
      <c r="K14" s="108">
        <f t="array" aca="1" ref="K14" ca="1">IF(INDEX($F:$F,ROW(),1)="","",IFERROR(DATE(YEAR(TODAY()),MONTH(TODAY())+1+INDEX(Hours!$I$5:$I$604,MATCH(1,(Hours!$C$5:$C$604=INDEX($C:$C,ROW(),1))*(Hours!$B$5:$B$604=MAX(IF(Hours!$C$5:$C$604=INDEX($C:$C,ROW(),1),Hours!$B$5:$B$604))),0)),DAY(0)),""))</f>
        <v>43069</v>
      </c>
      <c r="L14" s="111">
        <f t="shared" ca="1" si="1"/>
        <v>32.633333333333333</v>
      </c>
      <c r="M14" s="90">
        <f t="array" ref="M14">IF(INDEX(C:C,ROW(),1)="","",IFERROR(INDEX(Thickness!$I$5:$I$604,MATCH(1,(Thickness!$C$5:$C$604=INDEX(C:C,ROW(),1))*(Thickness!$B$5:$B$604=MAX(IF(Thickness!$C$5:$C$604=INDEX(C:C,ROW(),1),Thickness!$B$5:$B$604))),0)),""))</f>
        <v>81.5</v>
      </c>
      <c r="N14" s="46"/>
      <c r="P14" s="60"/>
      <c r="Q14" s="61"/>
    </row>
    <row r="15" spans="3:20" ht="26.1" customHeight="1" x14ac:dyDescent="0.2">
      <c r="C15" s="190" t="s">
        <v>54</v>
      </c>
      <c r="D15" s="122" t="str">
        <f>IF(INDEX(C:C,ROW(),1)="","",INDEX('Track Installation'!C:C,MATCH(INDEX(C:C,ROW(),1),'Track Installation'!D:D,FALSE),1))</f>
        <v>P&amp;H</v>
      </c>
      <c r="E15" s="122" t="str">
        <f>IF(INDEX(C:C,ROW(),1)="","",INDEX('Track Installation'!B:B,MATCH(INDEX(C:C,ROW(),1),'Track Installation'!D:D,FALSE),1))</f>
        <v>Aurora</v>
      </c>
      <c r="F15" s="108">
        <f t="array" ref="F15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41342</v>
      </c>
      <c r="G15" s="104">
        <f t="array" ref="G15">IF(OR(INDEX(C:C,ROW(),1)="",INDEX(F:F,ROW(),1)=""),"",SUMPRODUCT(('Track Installation'!D$5:D$53=INDEX(C:C,ROW(),1))*('Track Installation'!E$5:E$53=INDEX(F:F,ROW(),1)),('Track Installation'!I$5:I$53)))</f>
        <v>42674</v>
      </c>
      <c r="H15" s="111">
        <f t="shared" ca="1" si="0"/>
        <v>19.333333333333332</v>
      </c>
      <c r="I15" s="114">
        <f t="array" ref="I15">IF(INDEX($F:$F,ROW(),1)="","",IFERROR(INDEX(Hours!$H$5:$H$604,MATCH(1,(Hours!$C$5:$C$604=INDEX($C:$C,ROW(),1))*(Hours!$B$5:$B$604=MAX(IF(Hours!$C$5:$C$604=INDEX($C:$C,ROW(),1),Hours!$B$5:$B$604))),0)),""))</f>
        <v>8.7063402642630336E-2</v>
      </c>
      <c r="J15" s="170">
        <f t="array" ref="J15">IF(INDEX($F:$F,ROW(),1)="","",IFERROR(INDEX(Hours!$L$5:$L$604,MATCH(1,(Hours!$C$5:$C$604=INDEX($C:$C,ROW(),1))*(Hours!$B$5:$B$604=MAX(IF(Hours!$C$5:$C$604=INDEX($C:$C,ROW(),1),Hours!$B$5:$B$604))),0)),""))</f>
        <v>0.12662337662337661</v>
      </c>
      <c r="K15" s="108">
        <f t="array" aca="1" ref="K15" ca="1">IF(INDEX($F:$F,ROW(),1)="","",IFERROR(DATE(YEAR(TODAY()),MONTH(TODAY())+1+INDEX(Hours!$I$5:$I$604,MATCH(1,(Hours!$C$5:$C$604=INDEX($C:$C,ROW(),1))*(Hours!$B$5:$B$604=MAX(IF(Hours!$C$5:$C$604=INDEX($C:$C,ROW(),1),Hours!$B$5:$B$604))),0)),DAY(0)),""))</f>
        <v>42613</v>
      </c>
      <c r="L15" s="111">
        <f t="shared" ca="1" si="1"/>
        <v>17.433333333333334</v>
      </c>
      <c r="M15" s="90" t="str">
        <f t="array" ref="M15">IF(INDEX(C:C,ROW(),1)="","",IFERROR(INDEX(Thickness!$I$5:$I$604,MATCH(1,(Thickness!$C$5:$C$604=INDEX(C:C,ROW(),1))*(Thickness!$B$5:$B$604=MAX(IF(Thickness!$C$5:$C$604=INDEX(C:C,ROW(),1),Thickness!$B$5:$B$604))),0)),""))</f>
        <v/>
      </c>
      <c r="P15" s="60"/>
      <c r="Q15" s="61"/>
    </row>
    <row r="16" spans="3:20" ht="26.1" customHeight="1" x14ac:dyDescent="0.2">
      <c r="C16" s="190" t="s">
        <v>52</v>
      </c>
      <c r="D16" s="122" t="str">
        <f>IF(INDEX(C:C,ROW(),1)="","",INDEX('Track Installation'!C:C,MATCH(INDEX(C:C,ROW(),1),'Track Installation'!D:D,FALSE),1))</f>
        <v>O&amp;K</v>
      </c>
      <c r="E16" s="122" t="str">
        <f>IF(INDEX(C:C,ROW(),1)="","",INDEX('Track Installation'!B:B,MATCH(INDEX(C:C,ROW(),1),'Track Installation'!D:D,FALSE),1))</f>
        <v>Aurora</v>
      </c>
      <c r="F16" s="108">
        <f t="array" ref="F16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41367</v>
      </c>
      <c r="G16" s="104">
        <f t="array" ref="G16">IF(OR(INDEX(C:C,ROW(),1)="",INDEX(F:F,ROW(),1)=""),"",SUMPRODUCT(('Track Installation'!D$5:D$53=INDEX(C:C,ROW(),1))*('Track Installation'!E$5:E$53=INDEX(F:F,ROW(),1)),('Track Installation'!I$5:I$53)))</f>
        <v>42429</v>
      </c>
      <c r="H16" s="111">
        <f t="shared" ca="1" si="0"/>
        <v>11.166666666666666</v>
      </c>
      <c r="I16" s="114">
        <f t="array" ref="I16">IF(INDEX($F:$F,ROW(),1)="","",IFERROR(INDEX(Hours!$H$5:$H$604,MATCH(1,(Hours!$C$5:$C$604=INDEX($C:$C,ROW(),1))*(Hours!$B$5:$B$604=MAX(IF(Hours!$C$5:$C$604=INDEX($C:$C,ROW(),1),Hours!$B$5:$B$604))),0)),""))</f>
        <v>0.15580736543909349</v>
      </c>
      <c r="J16" s="170">
        <f t="array" ref="J16">IF(INDEX($F:$F,ROW(),1)="","",IFERROR(INDEX(Hours!$L$5:$L$604,MATCH(1,(Hours!$C$5:$C$604=INDEX($C:$C,ROW(),1))*(Hours!$B$5:$B$604=MAX(IF(Hours!$C$5:$C$604=INDEX($C:$C,ROW(),1),Hours!$B$5:$B$604))),0)),""))</f>
        <v>0.13602941176470587</v>
      </c>
      <c r="K16" s="108">
        <f t="array" aca="1" ref="K16" ca="1">IF(INDEX($F:$F,ROW(),1)="","",IFERROR(DATE(YEAR(TODAY()),MONTH(TODAY())+1+INDEX(Hours!$I$5:$I$604,MATCH(1,(Hours!$C$5:$C$604=INDEX($C:$C,ROW(),1))*(Hours!$B$5:$B$604=MAX(IF(Hours!$C$5:$C$604=INDEX($C:$C,ROW(),1),Hours!$B$5:$B$604))),0)),DAY(0)),""))</f>
        <v>41973</v>
      </c>
      <c r="L16" s="111">
        <f t="shared" ca="1" si="1"/>
        <v>-3.9</v>
      </c>
      <c r="M16" s="90" t="str">
        <f t="array" ref="M16">IF(INDEX(C:C,ROW(),1)="","",IFERROR(INDEX(Thickness!$I$5:$I$604,MATCH(1,(Thickness!$C$5:$C$604=INDEX(C:C,ROW(),1))*(Thickness!$B$5:$B$604=MAX(IF(Thickness!$C$5:$C$604=INDEX(C:C,ROW(),1),Thickness!$B$5:$B$604))),0)),""))</f>
        <v/>
      </c>
      <c r="P16" s="60"/>
      <c r="Q16" s="61"/>
    </row>
    <row r="17" spans="3:17" ht="26.1" customHeight="1" x14ac:dyDescent="0.2">
      <c r="C17" s="190" t="s">
        <v>15</v>
      </c>
      <c r="D17" s="122" t="str">
        <f>IF(INDEX(C:C,ROW(),1)="","",INDEX('Track Installation'!C:C,MATCH(INDEX(C:C,ROW(),1),'Track Installation'!D:D,FALSE),1))</f>
        <v>P&amp;H</v>
      </c>
      <c r="E17" s="122" t="str">
        <f>IF(INDEX(C:C,ROW(),1)="","",INDEX('Track Installation'!B:B,MATCH(INDEX(C:C,ROW(),1),'Track Installation'!D:D,FALSE),1))</f>
        <v>Base Mine</v>
      </c>
      <c r="F17" s="108">
        <f t="array" ref="F17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41428</v>
      </c>
      <c r="G17" s="104">
        <f t="array" ref="G17">IF(OR(INDEX(C:C,ROW(),1)="",INDEX(F:F,ROW(),1)=""),"",SUMPRODUCT(('Track Installation'!D$5:D$53=INDEX(C:C,ROW(),1))*('Track Installation'!E$5:E$53=INDEX(F:F,ROW(),1)),('Track Installation'!I$5:I$53)))</f>
        <v>42766</v>
      </c>
      <c r="H17" s="111">
        <f t="shared" ca="1" si="0"/>
        <v>22.4</v>
      </c>
      <c r="I17" s="114">
        <f t="array" ref="I17">IF(INDEX($F:$F,ROW(),1)="","",IFERROR(INDEX(Hours!$H$5:$H$604,MATCH(1,(Hours!$C$5:$C$604=INDEX($C:$C,ROW(),1))*(Hours!$B$5:$B$604=MAX(IF(Hours!$C$5:$C$604=INDEX($C:$C,ROW(),1),Hours!$B$5:$B$604))),0)),""))</f>
        <v>3.8136035941907849E-2</v>
      </c>
      <c r="J17" s="170" t="str">
        <f t="array" ref="J17">IF(INDEX($F:$F,ROW(),1)="","",IFERROR(INDEX(Hours!$L$5:$L$604,MATCH(1,(Hours!$C$5:$C$604=INDEX($C:$C,ROW(),1))*(Hours!$B$5:$B$604=MAX(IF(Hours!$C$5:$C$604=INDEX($C:$C,ROW(),1),Hours!$B$5:$B$604))),0)),""))</f>
        <v/>
      </c>
      <c r="K17" s="108">
        <f t="array" aca="1" ref="K17" ca="1">IF(INDEX($F:$F,ROW(),1)="","",IFERROR(DATE(YEAR(TODAY()),MONTH(TODAY())+1+INDEX(Hours!$I$5:$I$604,MATCH(1,(Hours!$C$5:$C$604=INDEX($C:$C,ROW(),1))*(Hours!$B$5:$B$604=MAX(IF(Hours!$C$5:$C$604=INDEX($C:$C,ROW(),1),Hours!$B$5:$B$604))),0)),DAY(0)),""))</f>
        <v>44012</v>
      </c>
      <c r="L17" s="111">
        <f t="shared" ca="1" si="1"/>
        <v>64.066666666666663</v>
      </c>
      <c r="M17" s="90" t="str">
        <f t="array" ref="M17">IF(INDEX(C:C,ROW(),1)="","",IFERROR(INDEX(Thickness!$I$5:$I$604,MATCH(1,(Thickness!$C$5:$C$604=INDEX(C:C,ROW(),1))*(Thickness!$B$5:$B$604=MAX(IF(Thickness!$C$5:$C$604=INDEX(C:C,ROW(),1),Thickness!$B$5:$B$604))),0)),""))</f>
        <v/>
      </c>
      <c r="P17" s="60"/>
      <c r="Q17" s="61"/>
    </row>
    <row r="18" spans="3:17" ht="26.1" customHeight="1" x14ac:dyDescent="0.2">
      <c r="C18" s="190" t="s">
        <v>53</v>
      </c>
      <c r="D18" s="122" t="str">
        <f>IF(INDEX(C:C,ROW(),1)="","",INDEX('Track Installation'!C:C,MATCH(INDEX(C:C,ROW(),1),'Track Installation'!D:D,FALSE),1))</f>
        <v>O&amp;K</v>
      </c>
      <c r="E18" s="122" t="str">
        <f>IF(INDEX(C:C,ROW(),1)="","",INDEX('Track Installation'!B:B,MATCH(INDEX(C:C,ROW(),1),'Track Installation'!D:D,FALSE),1))</f>
        <v>Aurora</v>
      </c>
      <c r="F18" s="108">
        <f t="array" ref="F18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41446</v>
      </c>
      <c r="G18" s="104">
        <f t="array" ref="G18">IF(OR(INDEX(C:C,ROW(),1)="",INDEX(F:F,ROW(),1)=""),"",SUMPRODUCT(('Track Installation'!D$5:D$53=INDEX(C:C,ROW(),1))*('Track Installation'!E$5:E$53=INDEX(F:F,ROW(),1)),('Track Installation'!I$5:I$53)))</f>
        <v>42490</v>
      </c>
      <c r="H18" s="111">
        <f t="shared" ca="1" si="0"/>
        <v>13.2</v>
      </c>
      <c r="I18" s="114" t="str">
        <f t="array" ref="I18">IF(INDEX($F:$F,ROW(),1)="","",IFERROR(INDEX(Hours!$H$5:$H$604,MATCH(1,(Hours!$C$5:$C$604=INDEX($C:$C,ROW(),1))*(Hours!$B$5:$B$604=MAX(IF(Hours!$C$5:$C$604=INDEX($C:$C,ROW(),1),Hours!$B$5:$B$604))),0)),""))</f>
        <v/>
      </c>
      <c r="J18" s="170" t="str">
        <f t="array" ref="J18">IF(INDEX($F:$F,ROW(),1)="","",IFERROR(INDEX(Hours!$L$5:$L$604,MATCH(1,(Hours!$C$5:$C$604=INDEX($C:$C,ROW(),1))*(Hours!$B$5:$B$604=MAX(IF(Hours!$C$5:$C$604=INDEX($C:$C,ROW(),1),Hours!$B$5:$B$604))),0)),""))</f>
        <v/>
      </c>
      <c r="K18" s="108" t="str">
        <f t="array" aca="1" ref="K18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18" s="111" t="str">
        <f t="shared" ca="1" si="1"/>
        <v/>
      </c>
      <c r="M18" s="90" t="str">
        <f t="array" ref="M18">IF(INDEX(C:C,ROW(),1)="","",IFERROR(INDEX(Thickness!$I$5:$I$604,MATCH(1,(Thickness!$C$5:$C$604=INDEX(C:C,ROW(),1))*(Thickness!$B$5:$B$604=MAX(IF(Thickness!$C$5:$C$604=INDEX(C:C,ROW(),1),Thickness!$B$5:$B$604))),0)),""))</f>
        <v/>
      </c>
      <c r="P18" s="60"/>
      <c r="Q18" s="61"/>
    </row>
    <row r="19" spans="3:17" ht="26.1" customHeight="1" x14ac:dyDescent="0.2">
      <c r="C19" s="190" t="s">
        <v>55</v>
      </c>
      <c r="D19" s="122" t="str">
        <f>IF(INDEX(C:C,ROW(),1)="","",INDEX('Track Installation'!C:C,MATCH(INDEX(C:C,ROW(),1),'Track Installation'!D:D,FALSE),1))</f>
        <v>P&amp;H</v>
      </c>
      <c r="E19" s="122" t="str">
        <f>IF(INDEX(C:C,ROW(),1)="","",INDEX('Track Installation'!B:B,MATCH(INDEX(C:C,ROW(),1),'Track Installation'!D:D,FALSE),1))</f>
        <v>Aurora</v>
      </c>
      <c r="F19" s="108">
        <f t="array" ref="F19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41479</v>
      </c>
      <c r="G19" s="104">
        <f t="array" ref="G19">IF(OR(INDEX(C:C,ROW(),1)="",INDEX(F:F,ROW(),1)=""),"",SUMPRODUCT(('Track Installation'!D$5:D$53=INDEX(C:C,ROW(),1))*('Track Installation'!E$5:E$53=INDEX(F:F,ROW(),1)),('Track Installation'!I$5:I$53)))</f>
        <v>42794</v>
      </c>
      <c r="H19" s="111">
        <f t="shared" ca="1" si="0"/>
        <v>23.333333333333332</v>
      </c>
      <c r="I19" s="114">
        <f t="array" ref="I19">IF(INDEX($F:$F,ROW(),1)="","",IFERROR(INDEX(Hours!$H$5:$H$604,MATCH(1,(Hours!$C$5:$C$604=INDEX($C:$C,ROW(),1))*(Hours!$B$5:$B$604=MAX(IF(Hours!$C$5:$C$604=INDEX($C:$C,ROW(),1),Hours!$B$5:$B$604))),0)),""))</f>
        <v>8.3047266965936103E-2</v>
      </c>
      <c r="J19" s="170">
        <f t="array" ref="J19">IF(INDEX($F:$F,ROW(),1)="","",IFERROR(INDEX(Hours!$L$5:$L$604,MATCH(1,(Hours!$C$5:$C$604=INDEX($C:$C,ROW(),1))*(Hours!$B$5:$B$604=MAX(IF(Hours!$C$5:$C$604=INDEX($C:$C,ROW(),1),Hours!$B$5:$B$604))),0)),""))</f>
        <v>0.10611510791366907</v>
      </c>
      <c r="K19" s="108">
        <f t="array" aca="1" ref="K19" ca="1">IF(INDEX($F:$F,ROW(),1)="","",IFERROR(DATE(YEAR(TODAY()),MONTH(TODAY())+1+INDEX(Hours!$I$5:$I$604,MATCH(1,(Hours!$C$5:$C$604=INDEX($C:$C,ROW(),1))*(Hours!$B$5:$B$604=MAX(IF(Hours!$C$5:$C$604=INDEX($C:$C,ROW(),1),Hours!$B$5:$B$604))),0)),DAY(0)),""))</f>
        <v>42794</v>
      </c>
      <c r="L19" s="111">
        <f t="shared" ca="1" si="1"/>
        <v>23.466666666666665</v>
      </c>
      <c r="M19" s="90" t="str">
        <f t="array" ref="M19">IF(INDEX(C:C,ROW(),1)="","",IFERROR(INDEX(Thickness!$I$5:$I$604,MATCH(1,(Thickness!$C$5:$C$604=INDEX(C:C,ROW(),1))*(Thickness!$B$5:$B$604=MAX(IF(Thickness!$C$5:$C$604=INDEX(C:C,ROW(),1),Thickness!$B$5:$B$604))),0)),""))</f>
        <v/>
      </c>
      <c r="P19" s="60"/>
      <c r="Q19" s="61"/>
    </row>
    <row r="20" spans="3:17" ht="26.1" customHeight="1" x14ac:dyDescent="0.2">
      <c r="C20" s="190" t="s">
        <v>14</v>
      </c>
      <c r="D20" s="122" t="str">
        <f>IF(INDEX(C:C,ROW(),1)="","",INDEX('Track Installation'!C:C,MATCH(INDEX(C:C,ROW(),1),'Track Installation'!D:D,FALSE),1))</f>
        <v>BI</v>
      </c>
      <c r="E20" s="122" t="str">
        <f>IF(INDEX(C:C,ROW(),1)="","",INDEX('Track Installation'!B:B,MATCH(INDEX(C:C,ROW(),1),'Track Installation'!D:D,FALSE),1))</f>
        <v>Base Mine</v>
      </c>
      <c r="F20" s="108">
        <f t="array" ref="F20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41542</v>
      </c>
      <c r="G20" s="104">
        <f t="array" ref="G20">IF(OR(INDEX(C:C,ROW(),1)="",INDEX(F:F,ROW(),1)=""),"",SUMPRODUCT(('Track Installation'!D$5:D$53=INDEX(C:C,ROW(),1))*('Track Installation'!E$5:E$53=INDEX(F:F,ROW(),1)),('Track Installation'!I$5:I$53)))</f>
        <v>42855</v>
      </c>
      <c r="H20" s="111">
        <f t="shared" ca="1" si="0"/>
        <v>25.366666666666667</v>
      </c>
      <c r="I20" s="114">
        <f t="array" ref="I20">IF(INDEX($F:$F,ROW(),1)="","",IFERROR(INDEX(Hours!$H$5:$H$604,MATCH(1,(Hours!$C$5:$C$604=INDEX($C:$C,ROW(),1))*(Hours!$B$5:$B$604=MAX(IF(Hours!$C$5:$C$604=INDEX($C:$C,ROW(),1),Hours!$B$5:$B$604))),0)),""))</f>
        <v>0</v>
      </c>
      <c r="J20" s="170" t="str">
        <f t="array" ref="J20">IF(INDEX($F:$F,ROW(),1)="","",IFERROR(INDEX(Hours!$L$5:$L$604,MATCH(1,(Hours!$C$5:$C$604=INDEX($C:$C,ROW(),1))*(Hours!$B$5:$B$604=MAX(IF(Hours!$C$5:$C$604=INDEX($C:$C,ROW(),1),Hours!$B$5:$B$604))),0)),""))</f>
        <v/>
      </c>
      <c r="K20" s="108" t="str">
        <f t="array" aca="1" ref="K20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20" s="111" t="str">
        <f t="shared" ca="1" si="1"/>
        <v/>
      </c>
      <c r="M20" s="90" t="str">
        <f t="array" ref="M20">IF(INDEX(C:C,ROW(),1)="","",IFERROR(INDEX(Thickness!$I$5:$I$604,MATCH(1,(Thickness!$C$5:$C$604=INDEX(C:C,ROW(),1))*(Thickness!$B$5:$B$604=MAX(IF(Thickness!$C$5:$C$604=INDEX(C:C,ROW(),1),Thickness!$B$5:$B$604))),0)),""))</f>
        <v/>
      </c>
      <c r="P20" s="60"/>
      <c r="Q20" s="60"/>
    </row>
    <row r="21" spans="3:17" ht="26.1" customHeight="1" x14ac:dyDescent="0.2">
      <c r="C21" s="190" t="s">
        <v>58</v>
      </c>
      <c r="D21" s="122" t="str">
        <f>IF(INDEX(C:C,ROW(),1)="","",INDEX('Track Installation'!C:C,MATCH(INDEX(C:C,ROW(),1),'Track Installation'!D:D,FALSE),1))</f>
        <v>P&amp;H</v>
      </c>
      <c r="E21" s="122" t="str">
        <f>IF(INDEX(C:C,ROW(),1)="","",INDEX('Track Installation'!B:B,MATCH(INDEX(C:C,ROW(),1),'Track Installation'!D:D,FALSE),1))</f>
        <v>Aurora</v>
      </c>
      <c r="F21" s="108">
        <f t="array" ref="F21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41628</v>
      </c>
      <c r="G21" s="104">
        <f t="array" ref="G21">IF(OR(INDEX(C:C,ROW(),1)="",INDEX(F:F,ROW(),1)=""),"",SUMPRODUCT(('Track Installation'!D$5:D$53=INDEX(C:C,ROW(),1))*('Track Installation'!E$5:E$53=INDEX(F:F,ROW(),1)),('Track Installation'!I$5:I$53)))</f>
        <v>42947</v>
      </c>
      <c r="H21" s="111">
        <f t="shared" ca="1" si="0"/>
        <v>28.433333333333334</v>
      </c>
      <c r="I21" s="114">
        <f t="array" ref="I21">IF(INDEX($F:$F,ROW(),1)="","",IFERROR(INDEX(Hours!$H$5:$H$604,MATCH(1,(Hours!$C$5:$C$604=INDEX($C:$C,ROW(),1))*(Hours!$B$5:$B$604=MAX(IF(Hours!$C$5:$C$604=INDEX($C:$C,ROW(),1),Hours!$B$5:$B$604))),0)),""))</f>
        <v>0.10225340136054421</v>
      </c>
      <c r="J21" s="170">
        <f t="array" ref="J21">IF(INDEX($F:$F,ROW(),1)="","",IFERROR(INDEX(Hours!$L$5:$L$604,MATCH(1,(Hours!$C$5:$C$604=INDEX($C:$C,ROW(),1))*(Hours!$B$5:$B$604=MAX(IF(Hours!$C$5:$C$604=INDEX($C:$C,ROW(),1),Hours!$B$5:$B$604))),0)),""))</f>
        <v>9.0733590733590733E-2</v>
      </c>
      <c r="K21" s="108">
        <f t="array" aca="1" ref="K21" ca="1">IF(INDEX($F:$F,ROW(),1)="","",IFERROR(DATE(YEAR(TODAY()),MONTH(TODAY())+1+INDEX(Hours!$I$5:$I$604,MATCH(1,(Hours!$C$5:$C$604=INDEX($C:$C,ROW(),1))*(Hours!$B$5:$B$604=MAX(IF(Hours!$C$5:$C$604=INDEX($C:$C,ROW(),1),Hours!$B$5:$B$604))),0)),DAY(0)),""))</f>
        <v>42735</v>
      </c>
      <c r="L21" s="111">
        <f t="shared" ca="1" si="1"/>
        <v>21.5</v>
      </c>
      <c r="M21" s="90" t="str">
        <f t="array" ref="M21">IF(INDEX(C:C,ROW(),1)="","",IFERROR(INDEX(Thickness!$I$5:$I$604,MATCH(1,(Thickness!$C$5:$C$604=INDEX(C:C,ROW(),1))*(Thickness!$B$5:$B$604=MAX(IF(Thickness!$C$5:$C$604=INDEX(C:C,ROW(),1),Thickness!$B$5:$B$604))),0)),""))</f>
        <v/>
      </c>
      <c r="P21" s="60"/>
      <c r="Q21" s="60"/>
    </row>
    <row r="22" spans="3:17" ht="26.1" customHeight="1" x14ac:dyDescent="0.2">
      <c r="C22" s="190" t="s">
        <v>19</v>
      </c>
      <c r="D22" s="122" t="str">
        <f>IF(INDEX(C:C,ROW(),1)="","",INDEX('Track Installation'!C:C,MATCH(INDEX(C:C,ROW(),1),'Track Installation'!D:D,FALSE),1))</f>
        <v>P&amp;H</v>
      </c>
      <c r="E22" s="122" t="str">
        <f>IF(INDEX(C:C,ROW(),1)="","",INDEX('Track Installation'!B:B,MATCH(INDEX(C:C,ROW(),1),'Track Installation'!D:D,FALSE),1))</f>
        <v>Base Mine</v>
      </c>
      <c r="F22" s="108">
        <f t="array" ref="F22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41689</v>
      </c>
      <c r="G22" s="104">
        <f t="array" ref="G22">IF(OR(INDEX(C:C,ROW(),1)="",INDEX(F:F,ROW(),1)=""),"",SUMPRODUCT(('Track Installation'!D$5:D$53=INDEX(C:C,ROW(),1))*('Track Installation'!E$5:E$53=INDEX(F:F,ROW(),1)),('Track Installation'!I$5:I$53)))</f>
        <v>43008</v>
      </c>
      <c r="H22" s="111">
        <f t="shared" ca="1" si="0"/>
        <v>30.466666666666665</v>
      </c>
      <c r="I22" s="114">
        <f t="array" ref="I22">IF(INDEX($F:$F,ROW(),1)="","",IFERROR(INDEX(Hours!$H$5:$H$604,MATCH(1,(Hours!$C$5:$C$604=INDEX($C:$C,ROW(),1))*(Hours!$B$5:$B$604=MAX(IF(Hours!$C$5:$C$604=INDEX($C:$C,ROW(),1),Hours!$B$5:$B$604))),0)),""))</f>
        <v>7.5429087624209579E-2</v>
      </c>
      <c r="J22" s="170" t="str">
        <f t="array" ref="J22">IF(INDEX($F:$F,ROW(),1)="","",IFERROR(INDEX(Hours!$L$5:$L$604,MATCH(1,(Hours!$C$5:$C$604=INDEX($C:$C,ROW(),1))*(Hours!$B$5:$B$604=MAX(IF(Hours!$C$5:$C$604=INDEX($C:$C,ROW(),1),Hours!$B$5:$B$604))),0)),""))</f>
        <v/>
      </c>
      <c r="K22" s="108">
        <f t="array" aca="1" ref="K22" ca="1">IF(INDEX($F:$F,ROW(),1)="","",IFERROR(DATE(YEAR(TODAY()),MONTH(TODAY())+1+INDEX(Hours!$I$5:$I$604,MATCH(1,(Hours!$C$5:$C$604=INDEX($C:$C,ROW(),1))*(Hours!$B$5:$B$604=MAX(IF(Hours!$C$5:$C$604=INDEX($C:$C,ROW(),1),Hours!$B$5:$B$604))),0)),DAY(0)),""))</f>
        <v>43069</v>
      </c>
      <c r="L22" s="111">
        <f t="shared" ca="1" si="1"/>
        <v>32.633333333333333</v>
      </c>
      <c r="M22" s="90" t="str">
        <f t="array" ref="M22">IF(INDEX(C:C,ROW(),1)="","",IFERROR(INDEX(Thickness!$I$5:$I$604,MATCH(1,(Thickness!$C$5:$C$604=INDEX(C:C,ROW(),1))*(Thickness!$B$5:$B$604=MAX(IF(Thickness!$C$5:$C$604=INDEX(C:C,ROW(),1),Thickness!$B$5:$B$604))),0)),""))</f>
        <v/>
      </c>
      <c r="P22" s="60"/>
      <c r="Q22" s="60"/>
    </row>
    <row r="23" spans="3:17" ht="24.95" customHeight="1" x14ac:dyDescent="0.2">
      <c r="C23" s="190" t="s">
        <v>11</v>
      </c>
      <c r="D23" s="122" t="str">
        <f>IF(INDEX(C:C,ROW(),1)="","",INDEX('Track Installation'!C:C,MATCH(INDEX(C:C,ROW(),1),'Track Installation'!D:D,FALSE),1))</f>
        <v>P&amp;H</v>
      </c>
      <c r="E23" s="122" t="str">
        <f>IF(INDEX(C:C,ROW(),1)="","",INDEX('Track Installation'!B:B,MATCH(INDEX(C:C,ROW(),1),'Track Installation'!D:D,FALSE),1))</f>
        <v>Base Mine</v>
      </c>
      <c r="F23" s="108">
        <f t="array" ref="F23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41692</v>
      </c>
      <c r="G23" s="104">
        <f t="array" ref="G23">IF(OR(INDEX(C:C,ROW(),1)="",INDEX(F:F,ROW(),1)=""),"",SUMPRODUCT(('Track Installation'!D$5:D$53=INDEX(C:C,ROW(),1))*('Track Installation'!E$5:E$53=INDEX(F:F,ROW(),1)),('Track Installation'!I$5:I$53)))</f>
        <v>43008</v>
      </c>
      <c r="H23" s="111">
        <f t="shared" ca="1" si="0"/>
        <v>30.466666666666665</v>
      </c>
      <c r="I23" s="114">
        <f t="array" ref="I23">IF(INDEX($F:$F,ROW(),1)="","",IFERROR(INDEX(Hours!$H$5:$H$604,MATCH(1,(Hours!$C$5:$C$604=INDEX($C:$C,ROW(),1))*(Hours!$B$5:$B$604=MAX(IF(Hours!$C$5:$C$604=INDEX($C:$C,ROW(),1),Hours!$B$5:$B$604))),0)),""))</f>
        <v>0.13440340359698316</v>
      </c>
      <c r="J23" s="170" t="str">
        <f t="array" ref="J23">IF(INDEX($F:$F,ROW(),1)="","",IFERROR(INDEX(Hours!$L$5:$L$604,MATCH(1,(Hours!$C$5:$C$604=INDEX($C:$C,ROW(),1))*(Hours!$B$5:$B$604=MAX(IF(Hours!$C$5:$C$604=INDEX($C:$C,ROW(),1),Hours!$B$5:$B$604))),0)),""))</f>
        <v/>
      </c>
      <c r="K23" s="108">
        <f t="array" aca="1" ref="K23" ca="1">IF(INDEX($F:$F,ROW(),1)="","",IFERROR(DATE(YEAR(TODAY()),MONTH(TODAY())+1+INDEX(Hours!$I$5:$I$604,MATCH(1,(Hours!$C$5:$C$604=INDEX($C:$C,ROW(),1))*(Hours!$B$5:$B$604=MAX(IF(Hours!$C$5:$C$604=INDEX($C:$C,ROW(),1),Hours!$B$5:$B$604))),0)),DAY(0)),""))</f>
        <v>42490</v>
      </c>
      <c r="L23" s="111">
        <f t="shared" ca="1" si="1"/>
        <v>13.333333333333334</v>
      </c>
      <c r="M23" s="90" t="str">
        <f t="array" ref="M23">IF(INDEX(C:C,ROW(),1)="","",IFERROR(INDEX(Thickness!$I$5:$I$604,MATCH(1,(Thickness!$C$5:$C$604=INDEX(C:C,ROW(),1))*(Thickness!$B$5:$B$604=MAX(IF(Thickness!$C$5:$C$604=INDEX(C:C,ROW(),1),Thickness!$B$5:$B$604))),0)),""))</f>
        <v/>
      </c>
      <c r="P23" s="60"/>
      <c r="Q23" s="60"/>
    </row>
    <row r="24" spans="3:17" ht="24.95" customHeight="1" x14ac:dyDescent="0.2">
      <c r="C24" s="190" t="s">
        <v>56</v>
      </c>
      <c r="D24" s="122" t="str">
        <f>IF(INDEX(C:C,ROW(),1)="","",INDEX('Track Installation'!C:C,MATCH(INDEX(C:C,ROW(),1),'Track Installation'!D:D,FALSE),1))</f>
        <v>P&amp;H</v>
      </c>
      <c r="E24" s="122" t="str">
        <f>IF(INDEX(C:C,ROW(),1)="","",INDEX('Track Installation'!B:B,MATCH(INDEX(C:C,ROW(),1),'Track Installation'!D:D,FALSE),1))</f>
        <v>Aurora</v>
      </c>
      <c r="F24" s="108">
        <f t="array" ref="F24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41715</v>
      </c>
      <c r="G24" s="104">
        <f t="array" ref="G24">IF(OR(INDEX(C:C,ROW(),1)="",INDEX(F:F,ROW(),1)=""),"",SUMPRODUCT(('Track Installation'!D$5:D$53=INDEX(C:C,ROW(),1))*('Track Installation'!E$5:E$53=INDEX(F:F,ROW(),1)),('Track Installation'!I$5:I$53)))</f>
        <v>43039</v>
      </c>
      <c r="H24" s="111">
        <f t="shared" ca="1" si="0"/>
        <v>31.5</v>
      </c>
      <c r="I24" s="114">
        <f t="array" ref="I24">IF(INDEX($F:$F,ROW(),1)="","",IFERROR(INDEX(Hours!$H$5:$H$604,MATCH(1,(Hours!$C$5:$C$604=INDEX($C:$C,ROW(),1))*(Hours!$B$5:$B$604=MAX(IF(Hours!$C$5:$C$604=INDEX($C:$C,ROW(),1),Hours!$B$5:$B$604))),0)),""))</f>
        <v>8.8534107402031936E-2</v>
      </c>
      <c r="J24" s="170">
        <f t="array" ref="J24">IF(INDEX($F:$F,ROW(),1)="","",IFERROR(INDEX(Hours!$L$5:$L$604,MATCH(1,(Hours!$C$5:$C$604=INDEX($C:$C,ROW(),1))*(Hours!$B$5:$B$604=MAX(IF(Hours!$C$5:$C$604=INDEX($C:$C,ROW(),1),Hours!$B$5:$B$604))),0)),""))</f>
        <v>7.8149920255183414E-2</v>
      </c>
      <c r="K24" s="108">
        <f t="array" aca="1" ref="K24" ca="1">IF(INDEX($F:$F,ROW(),1)="","",IFERROR(DATE(YEAR(TODAY()),MONTH(TODAY())+1+INDEX(Hours!$I$5:$I$604,MATCH(1,(Hours!$C$5:$C$604=INDEX($C:$C,ROW(),1))*(Hours!$B$5:$B$604=MAX(IF(Hours!$C$5:$C$604=INDEX($C:$C,ROW(),1),Hours!$B$5:$B$604))),0)),DAY(0)),""))</f>
        <v>42947</v>
      </c>
      <c r="L24" s="111">
        <f t="shared" ca="1" si="1"/>
        <v>28.566666666666666</v>
      </c>
      <c r="M24" s="90" t="str">
        <f t="array" ref="M24">IF(INDEX(C:C,ROW(),1)="","",IFERROR(INDEX(Thickness!$I$5:$I$604,MATCH(1,(Thickness!$C$5:$C$604=INDEX(C:C,ROW(),1))*(Thickness!$B$5:$B$604=MAX(IF(Thickness!$C$5:$C$604=INDEX(C:C,ROW(),1),Thickness!$B$5:$B$604))),0)),""))</f>
        <v/>
      </c>
      <c r="P24" s="60"/>
      <c r="Q24" s="60"/>
    </row>
    <row r="25" spans="3:17" ht="24.95" customHeight="1" x14ac:dyDescent="0.2">
      <c r="C25" s="190" t="s">
        <v>17</v>
      </c>
      <c r="D25" s="122" t="str">
        <f>IF(INDEX(C:C,ROW(),1)="","",INDEX('Track Installation'!C:C,MATCH(INDEX(C:C,ROW(),1),'Track Installation'!D:D,FALSE),1))</f>
        <v>P&amp;H</v>
      </c>
      <c r="E25" s="122" t="str">
        <f>IF(INDEX(C:C,ROW(),1)="","",INDEX('Track Installation'!B:B,MATCH(INDEX(C:C,ROW(),1),'Track Installation'!D:D,FALSE),1))</f>
        <v>Base Mine</v>
      </c>
      <c r="F25" s="108">
        <f t="array" ref="F25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41718</v>
      </c>
      <c r="G25" s="104">
        <f t="array" ref="G25">IF(OR(INDEX(C:C,ROW(),1)="",INDEX(F:F,ROW(),1)=""),"",SUMPRODUCT(('Track Installation'!D$5:D$53=INDEX(C:C,ROW(),1))*('Track Installation'!E$5:E$53=INDEX(F:F,ROW(),1)),('Track Installation'!I$5:I$53)))</f>
        <v>43039</v>
      </c>
      <c r="H25" s="111">
        <f t="shared" ca="1" si="0"/>
        <v>31.5</v>
      </c>
      <c r="I25" s="114">
        <f t="array" ref="I25">IF(INDEX($F:$F,ROW(),1)="","",IFERROR(INDEX(Hours!$H$5:$H$604,MATCH(1,(Hours!$C$5:$C$604=INDEX($C:$C,ROW(),1))*(Hours!$B$5:$B$604=MAX(IF(Hours!$C$5:$C$604=INDEX($C:$C,ROW(),1),Hours!$B$5:$B$604))),0)),""))</f>
        <v>6.8848484848484853E-2</v>
      </c>
      <c r="J25" s="170" t="str">
        <f t="array" ref="J25">IF(INDEX($F:$F,ROW(),1)="","",IFERROR(INDEX(Hours!$L$5:$L$604,MATCH(1,(Hours!$C$5:$C$604=INDEX($C:$C,ROW(),1))*(Hours!$B$5:$B$604=MAX(IF(Hours!$C$5:$C$604=INDEX($C:$C,ROW(),1),Hours!$B$5:$B$604))),0)),""))</f>
        <v/>
      </c>
      <c r="K25" s="108">
        <f t="array" aca="1" ref="K25" ca="1">IF(INDEX($F:$F,ROW(),1)="","",IFERROR(DATE(YEAR(TODAY()),MONTH(TODAY())+1+INDEX(Hours!$I$5:$I$604,MATCH(1,(Hours!$C$5:$C$604=INDEX($C:$C,ROW(),1))*(Hours!$B$5:$B$604=MAX(IF(Hours!$C$5:$C$604=INDEX($C:$C,ROW(),1),Hours!$B$5:$B$604))),0)),DAY(0)),""))</f>
        <v>43190</v>
      </c>
      <c r="L25" s="111">
        <f t="shared" ca="1" si="1"/>
        <v>36.666666666666664</v>
      </c>
      <c r="M25" s="90" t="str">
        <f t="array" ref="M25">IF(INDEX(C:C,ROW(),1)="","",IFERROR(INDEX(Thickness!$I$5:$I$604,MATCH(1,(Thickness!$C$5:$C$604=INDEX(C:C,ROW(),1))*(Thickness!$B$5:$B$604=MAX(IF(Thickness!$C$5:$C$604=INDEX(C:C,ROW(),1),Thickness!$B$5:$B$604))),0)),""))</f>
        <v/>
      </c>
      <c r="P25" s="60"/>
      <c r="Q25" s="60"/>
    </row>
    <row r="26" spans="3:17" ht="24.95" customHeight="1" x14ac:dyDescent="0.2">
      <c r="C26" s="190" t="s">
        <v>16</v>
      </c>
      <c r="D26" s="122" t="str">
        <f>IF(INDEX(C:C,ROW(),1)="","",INDEX('Track Installation'!C:C,MATCH(INDEX(C:C,ROW(),1),'Track Installation'!D:D,FALSE),1))</f>
        <v>P&amp;H</v>
      </c>
      <c r="E26" s="122" t="str">
        <f>IF(INDEX(C:C,ROW(),1)="","",INDEX('Track Installation'!B:B,MATCH(INDEX(C:C,ROW(),1),'Track Installation'!D:D,FALSE),1))</f>
        <v>Base Mine</v>
      </c>
      <c r="F26" s="108">
        <f t="array" ref="F26">IF(INDEX($C$1:$C$43,ROW(),1)="","",IF(INDEX('Track Installation'!$E$5:$E$631,MATCH(INDEX($C$1:$C$43,ROW(),1),'Track Installation'!$D$5:$D$53,FALSE),1)="","",IFERROR(MAX(IF('Track Installation'!$D$5:$D$53=INDEX(C:C,ROW(),1),'Track Installation'!$E$5:$E$53)),"")))</f>
        <v>41799</v>
      </c>
      <c r="G26" s="104">
        <f t="array" ref="G26">IF(OR(INDEX(C:C,ROW(),1)="",INDEX(F:F,ROW(),1)=""),"",SUMPRODUCT(('Track Installation'!D$5:D$53=INDEX(C:C,ROW(),1))*('Track Installation'!E$5:E$53=INDEX(F:F,ROW(),1)),('Track Installation'!I$5:I$53)))</f>
        <v>43131</v>
      </c>
      <c r="H26" s="111">
        <f t="shared" ca="1" si="0"/>
        <v>34.56666666666667</v>
      </c>
      <c r="I26" s="114">
        <f t="array" ref="I26">IF(INDEX($F:$F,ROW(),1)="","",IFERROR(INDEX(Hours!$H$5:$H$604,MATCH(1,(Hours!$C$5:$C$604=INDEX($C:$C,ROW(),1))*(Hours!$B$5:$B$604=MAX(IF(Hours!$C$5:$C$604=INDEX($C:$C,ROW(),1),Hours!$B$5:$B$604))),0)),""))</f>
        <v>6.1643835616438353E-2</v>
      </c>
      <c r="J26" s="170" t="str">
        <f t="array" ref="J26">IF(INDEX($F:$F,ROW(),1)="","",IFERROR(INDEX(Hours!$L$5:$L$604,MATCH(1,(Hours!$C$5:$C$604=INDEX($C:$C,ROW(),1))*(Hours!$B$5:$B$604=MAX(IF(Hours!$C$5:$C$604=INDEX($C:$C,ROW(),1),Hours!$B$5:$B$604))),0)),""))</f>
        <v/>
      </c>
      <c r="K26" s="108">
        <f t="array" aca="1" ref="K26" ca="1">IF(INDEX($F:$F,ROW(),1)="","",IFERROR(DATE(YEAR(TODAY()),MONTH(TODAY())+1+INDEX(Hours!$I$5:$I$604,MATCH(1,(Hours!$C$5:$C$604=INDEX($C:$C,ROW(),1))*(Hours!$B$5:$B$604=MAX(IF(Hours!$C$5:$C$604=INDEX($C:$C,ROW(),1),Hours!$B$5:$B$604))),0)),DAY(0)),""))</f>
        <v>43404</v>
      </c>
      <c r="L26" s="111">
        <f t="shared" ca="1" si="1"/>
        <v>43.8</v>
      </c>
      <c r="M26" s="90" t="str">
        <f t="array" ref="M26">IF(INDEX(C:C,ROW(),1)="","",IFERROR(INDEX(Thickness!$I$5:$I$604,MATCH(1,(Thickness!$C$5:$C$604=INDEX(C:C,ROW(),1))*(Thickness!$B$5:$B$604=MAX(IF(Thickness!$C$5:$C$604=INDEX(C:C,ROW(),1),Thickness!$B$5:$B$604))),0)),""))</f>
        <v/>
      </c>
      <c r="P26" s="60"/>
      <c r="Q26" s="60"/>
    </row>
    <row r="27" spans="3:17" ht="24.95" customHeight="1" x14ac:dyDescent="0.2">
      <c r="C27" s="190" t="s">
        <v>81</v>
      </c>
      <c r="D27" s="122" t="str">
        <f>IF(INDEX(C:C,ROW(),1)="","",INDEX('Track Installation'!C:C,MATCH(INDEX(C:C,ROW(),1),'Track Installation'!D:D,FALSE),1))</f>
        <v/>
      </c>
      <c r="E27" s="122" t="str">
        <f>IF(INDEX(C:C,ROW(),1)="","",INDEX('Track Installation'!B:B,MATCH(INDEX(C:C,ROW(),1),'Track Installation'!D:D,FALSE),1))</f>
        <v/>
      </c>
      <c r="F27" s="108" t="str">
        <f t="array" ref="F27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27" s="104" t="str">
        <f t="array" ref="G27">IF(OR(INDEX(C:C,ROW(),1)="",INDEX(F:F,ROW(),1)=""),"",SUMPRODUCT(('Track Installation'!D$5:D$53=INDEX(C:C,ROW(),1))*('Track Installation'!E$5:E$53=INDEX(F:F,ROW(),1)),('Track Installation'!I$5:I$53)))</f>
        <v/>
      </c>
      <c r="H27" s="111" t="str">
        <f t="shared" ca="1" si="0"/>
        <v/>
      </c>
      <c r="I27" s="114" t="str">
        <f t="array" ref="I27">IF(INDEX($F:$F,ROW(),1)="","",IFERROR(INDEX(Hours!$H$5:$H$604,MATCH(1,(Hours!$C$5:$C$604=INDEX($C:$C,ROW(),1))*(Hours!$B$5:$B$604=MAX(IF(Hours!$C$5:$C$604=INDEX($C:$C,ROW(),1),Hours!$B$5:$B$604))),0)),""))</f>
        <v/>
      </c>
      <c r="J27" s="170" t="str">
        <f t="array" ref="J27">IF(INDEX($F:$F,ROW(),1)="","",IFERROR(INDEX(Hours!$L$5:$L$604,MATCH(1,(Hours!$C$5:$C$604=INDEX($C:$C,ROW(),1))*(Hours!$B$5:$B$604=MAX(IF(Hours!$C$5:$C$604=INDEX($C:$C,ROW(),1),Hours!$B$5:$B$604))),0)),""))</f>
        <v/>
      </c>
      <c r="K27" s="108" t="str">
        <f t="array" aca="1" ref="K27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27" s="111" t="str">
        <f t="shared" ca="1" si="1"/>
        <v/>
      </c>
      <c r="M27" s="90" t="str">
        <f t="array" ref="M27">IF(INDEX(C:C,ROW(),1)="","",IFERROR(INDEX(Thickness!$I$5:$I$604,MATCH(1,(Thickness!$C$5:$C$604=INDEX(C:C,ROW(),1))*(Thickness!$B$5:$B$604=MAX(IF(Thickness!$C$5:$C$604=INDEX(C:C,ROW(),1),Thickness!$B$5:$B$604))),0)),""))</f>
        <v/>
      </c>
      <c r="N27" s="106"/>
      <c r="P27" s="60"/>
      <c r="Q27" s="60"/>
    </row>
    <row r="28" spans="3:17" ht="24.95" customHeight="1" x14ac:dyDescent="0.2">
      <c r="C28" s="190" t="s">
        <v>81</v>
      </c>
      <c r="D28" s="122" t="str">
        <f>IF(INDEX(C:C,ROW(),1)="","",INDEX('Track Installation'!C:C,MATCH(INDEX(C:C,ROW(),1),'Track Installation'!D:D,FALSE),1))</f>
        <v/>
      </c>
      <c r="E28" s="122" t="str">
        <f>IF(INDEX(C:C,ROW(),1)="","",INDEX('Track Installation'!B:B,MATCH(INDEX(C:C,ROW(),1),'Track Installation'!D:D,FALSE),1))</f>
        <v/>
      </c>
      <c r="F28" s="108" t="str">
        <f t="array" ref="F28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28" s="104" t="str">
        <f t="array" ref="G28">IF(OR(INDEX(C:C,ROW(),1)="",INDEX(F:F,ROW(),1)=""),"",SUMPRODUCT(('Track Installation'!D$5:D$53=INDEX(C:C,ROW(),1))*('Track Installation'!E$5:E$53=INDEX(F:F,ROW(),1)),('Track Installation'!I$5:I$53)))</f>
        <v/>
      </c>
      <c r="H28" s="111" t="str">
        <f t="shared" ca="1" si="0"/>
        <v/>
      </c>
      <c r="I28" s="114" t="str">
        <f t="array" ref="I28">IF(INDEX($F:$F,ROW(),1)="","",IFERROR(INDEX(Hours!$H$5:$H$604,MATCH(1,(Hours!$C$5:$C$604=INDEX($C:$C,ROW(),1))*(Hours!$B$5:$B$604=MAX(IF(Hours!$C$5:$C$604=INDEX($C:$C,ROW(),1),Hours!$B$5:$B$604))),0)),""))</f>
        <v/>
      </c>
      <c r="J28" s="170" t="str">
        <f t="array" ref="J28">IF(INDEX($F:$F,ROW(),1)="","",IFERROR(INDEX(Hours!$L$5:$L$604,MATCH(1,(Hours!$C$5:$C$604=INDEX($C:$C,ROW(),1))*(Hours!$B$5:$B$604=MAX(IF(Hours!$C$5:$C$604=INDEX($C:$C,ROW(),1),Hours!$B$5:$B$604))),0)),""))</f>
        <v/>
      </c>
      <c r="K28" s="108" t="str">
        <f t="array" aca="1" ref="K28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28" s="111" t="str">
        <f t="shared" ca="1" si="1"/>
        <v/>
      </c>
      <c r="M28" s="90" t="str">
        <f t="array" ref="M28">IF(INDEX(C:C,ROW(),1)="","",IFERROR(INDEX(Thickness!$I$5:$I$604,MATCH(1,(Thickness!$C$5:$C$604=INDEX(C:C,ROW(),1))*(Thickness!$B$5:$B$604=MAX(IF(Thickness!$C$5:$C$604=INDEX(C:C,ROW(),1),Thickness!$B$5:$B$604))),0)),""))</f>
        <v/>
      </c>
    </row>
    <row r="29" spans="3:17" ht="24.95" customHeight="1" x14ac:dyDescent="0.2">
      <c r="C29" s="190" t="s">
        <v>81</v>
      </c>
      <c r="D29" s="122" t="str">
        <f>IF(INDEX(C:C,ROW(),1)="","",INDEX('Track Installation'!C:C,MATCH(INDEX(C:C,ROW(),1),'Track Installation'!D:D,FALSE),1))</f>
        <v/>
      </c>
      <c r="E29" s="122" t="str">
        <f>IF(INDEX(C:C,ROW(),1)="","",INDEX('Track Installation'!B:B,MATCH(INDEX(C:C,ROW(),1),'Track Installation'!D:D,FALSE),1))</f>
        <v/>
      </c>
      <c r="F29" s="108" t="str">
        <f t="array" ref="F29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29" s="104" t="str">
        <f t="array" ref="G29">IF(OR(INDEX(C:C,ROW(),1)="",INDEX(F:F,ROW(),1)=""),"",SUMPRODUCT(('Track Installation'!D$5:D$53=INDEX(C:C,ROW(),1))*('Track Installation'!E$5:E$53=INDEX(F:F,ROW(),1)),('Track Installation'!I$5:I$53)))</f>
        <v/>
      </c>
      <c r="H29" s="111" t="str">
        <f t="shared" ca="1" si="0"/>
        <v/>
      </c>
      <c r="I29" s="114" t="str">
        <f t="array" ref="I29">IF(INDEX($F:$F,ROW(),1)="","",IFERROR(INDEX(Hours!$H$5:$H$604,MATCH(1,(Hours!$C$5:$C$604=INDEX($C:$C,ROW(),1))*(Hours!$B$5:$B$604=MAX(IF(Hours!$C$5:$C$604=INDEX($C:$C,ROW(),1),Hours!$B$5:$B$604))),0)),""))</f>
        <v/>
      </c>
      <c r="J29" s="170" t="str">
        <f t="array" ref="J29">IF(INDEX($F:$F,ROW(),1)="","",IFERROR(INDEX(Hours!$L$5:$L$604,MATCH(1,(Hours!$C$5:$C$604=INDEX($C:$C,ROW(),1))*(Hours!$B$5:$B$604=MAX(IF(Hours!$C$5:$C$604=INDEX($C:$C,ROW(),1),Hours!$B$5:$B$604))),0)),""))</f>
        <v/>
      </c>
      <c r="K29" s="108" t="str">
        <f t="array" aca="1" ref="K29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29" s="111" t="str">
        <f t="shared" ca="1" si="1"/>
        <v/>
      </c>
      <c r="M29" s="90" t="str">
        <f t="array" ref="M29">IF(INDEX(C:C,ROW(),1)="","",IFERROR(INDEX(Thickness!$I$5:$I$604,MATCH(1,(Thickness!$C$5:$C$604=INDEX(C:C,ROW(),1))*(Thickness!$B$5:$B$604=MAX(IF(Thickness!$C$5:$C$604=INDEX(C:C,ROW(),1),Thickness!$B$5:$B$604))),0)),""))</f>
        <v/>
      </c>
    </row>
    <row r="30" spans="3:17" ht="24.95" customHeight="1" x14ac:dyDescent="0.2">
      <c r="C30" s="190" t="s">
        <v>81</v>
      </c>
      <c r="D30" s="122" t="str">
        <f>IF(INDEX(C:C,ROW(),1)="","",INDEX('Track Installation'!C:C,MATCH(INDEX(C:C,ROW(),1),'Track Installation'!D:D,FALSE),1))</f>
        <v/>
      </c>
      <c r="E30" s="122" t="str">
        <f>IF(INDEX(C:C,ROW(),1)="","",INDEX('Track Installation'!B:B,MATCH(INDEX(C:C,ROW(),1),'Track Installation'!D:D,FALSE),1))</f>
        <v/>
      </c>
      <c r="F30" s="108" t="str">
        <f t="array" ref="F30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0" s="104" t="str">
        <f t="array" ref="G30">IF(OR(INDEX(C:C,ROW(),1)="",INDEX(F:F,ROW(),1)=""),"",SUMPRODUCT(('Track Installation'!D$5:D$53=INDEX(C:C,ROW(),1))*('Track Installation'!E$5:E$53=INDEX(F:F,ROW(),1)),('Track Installation'!I$5:I$53)))</f>
        <v/>
      </c>
      <c r="H30" s="111" t="str">
        <f t="shared" ca="1" si="0"/>
        <v/>
      </c>
      <c r="I30" s="114" t="str">
        <f t="array" ref="I30">IF(INDEX($F:$F,ROW(),1)="","",IFERROR(INDEX(Hours!$H$5:$H$604,MATCH(1,(Hours!$C$5:$C$604=INDEX($C:$C,ROW(),1))*(Hours!$B$5:$B$604=MAX(IF(Hours!$C$5:$C$604=INDEX($C:$C,ROW(),1),Hours!$B$5:$B$604))),0)),""))</f>
        <v/>
      </c>
      <c r="J30" s="170" t="str">
        <f t="array" ref="J30">IF(INDEX($F:$F,ROW(),1)="","",IFERROR(INDEX(Hours!$L$5:$L$604,MATCH(1,(Hours!$C$5:$C$604=INDEX($C:$C,ROW(),1))*(Hours!$B$5:$B$604=MAX(IF(Hours!$C$5:$C$604=INDEX($C:$C,ROW(),1),Hours!$B$5:$B$604))),0)),""))</f>
        <v/>
      </c>
      <c r="K30" s="108" t="str">
        <f t="array" aca="1" ref="K30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0" s="111" t="str">
        <f t="shared" ca="1" si="1"/>
        <v/>
      </c>
      <c r="M30" s="90" t="str">
        <f t="array" ref="M30">IF(INDEX(C:C,ROW(),1)="","",IFERROR(INDEX(Thickness!$I$5:$I$604,MATCH(1,(Thickness!$C$5:$C$604=INDEX(C:C,ROW(),1))*(Thickness!$B$5:$B$604=MAX(IF(Thickness!$C$5:$C$604=INDEX(C:C,ROW(),1),Thickness!$B$5:$B$604))),0)),""))</f>
        <v/>
      </c>
    </row>
    <row r="31" spans="3:17" ht="24.95" customHeight="1" x14ac:dyDescent="0.2">
      <c r="C31" s="190" t="s">
        <v>81</v>
      </c>
      <c r="D31" s="122" t="str">
        <f>IF(INDEX(C:C,ROW(),1)="","",INDEX('Track Installation'!C:C,MATCH(INDEX(C:C,ROW(),1),'Track Installation'!D:D,FALSE),1))</f>
        <v/>
      </c>
      <c r="E31" s="122" t="str">
        <f>IF(INDEX(C:C,ROW(),1)="","",INDEX('Track Installation'!B:B,MATCH(INDEX(C:C,ROW(),1),'Track Installation'!D:D,FALSE),1))</f>
        <v/>
      </c>
      <c r="F31" s="108" t="str">
        <f t="array" ref="F31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1" s="104" t="str">
        <f t="array" ref="G31">IF(OR(INDEX(C:C,ROW(),1)="",INDEX(F:F,ROW(),1)=""),"",SUMPRODUCT(('Track Installation'!D$5:D$53=INDEX(C:C,ROW(),1))*('Track Installation'!E$5:E$53=INDEX(F:F,ROW(),1)),('Track Installation'!I$5:I$53)))</f>
        <v/>
      </c>
      <c r="H31" s="111" t="str">
        <f t="shared" ca="1" si="0"/>
        <v/>
      </c>
      <c r="I31" s="114" t="str">
        <f t="array" ref="I31">IF(INDEX($F:$F,ROW(),1)="","",IFERROR(INDEX(Hours!$H$5:$H$604,MATCH(1,(Hours!$C$5:$C$604=INDEX($C:$C,ROW(),1))*(Hours!$B$5:$B$604=MAX(IF(Hours!$C$5:$C$604=INDEX($C:$C,ROW(),1),Hours!$B$5:$B$604))),0)),""))</f>
        <v/>
      </c>
      <c r="J31" s="170" t="str">
        <f t="array" ref="J31">IF(INDEX($F:$F,ROW(),1)="","",IFERROR(INDEX(Hours!$L$5:$L$604,MATCH(1,(Hours!$C$5:$C$604=INDEX($C:$C,ROW(),1))*(Hours!$B$5:$B$604=MAX(IF(Hours!$C$5:$C$604=INDEX($C:$C,ROW(),1),Hours!$B$5:$B$604))),0)),""))</f>
        <v/>
      </c>
      <c r="K31" s="108" t="str">
        <f t="array" aca="1" ref="K31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1" s="111" t="str">
        <f t="shared" ca="1" si="1"/>
        <v/>
      </c>
      <c r="M31" s="90" t="str">
        <f t="array" ref="M31">IF(INDEX(C:C,ROW(),1)="","",IFERROR(INDEX(Thickness!$I$5:$I$604,MATCH(1,(Thickness!$C$5:$C$604=INDEX(C:C,ROW(),1))*(Thickness!$B$5:$B$604=MAX(IF(Thickness!$C$5:$C$604=INDEX(C:C,ROW(),1),Thickness!$B$5:$B$604))),0)),""))</f>
        <v/>
      </c>
    </row>
    <row r="32" spans="3:17" ht="24.95" customHeight="1" x14ac:dyDescent="0.2">
      <c r="C32" s="190" t="s">
        <v>81</v>
      </c>
      <c r="D32" s="122" t="str">
        <f>IF(INDEX(C:C,ROW(),1)="","",INDEX('Track Installation'!C:C,MATCH(INDEX(C:C,ROW(),1),'Track Installation'!D:D,FALSE),1))</f>
        <v/>
      </c>
      <c r="E32" s="122" t="str">
        <f>IF(INDEX(C:C,ROW(),1)="","",INDEX('Track Installation'!B:B,MATCH(INDEX(C:C,ROW(),1),'Track Installation'!D:D,FALSE),1))</f>
        <v/>
      </c>
      <c r="F32" s="108" t="str">
        <f t="array" ref="F32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2" s="104" t="str">
        <f t="array" ref="G32">IF(OR(INDEX(C:C,ROW(),1)="",INDEX(F:F,ROW(),1)=""),"",SUMPRODUCT(('Track Installation'!D$5:D$53=INDEX(C:C,ROW(),1))*('Track Installation'!E$5:E$53=INDEX(F:F,ROW(),1)),('Track Installation'!I$5:I$53)))</f>
        <v/>
      </c>
      <c r="H32" s="111" t="str">
        <f t="shared" ca="1" si="0"/>
        <v/>
      </c>
      <c r="I32" s="114" t="str">
        <f t="array" ref="I32">IF(INDEX($F:$F,ROW(),1)="","",IFERROR(INDEX(Hours!$H$5:$H$604,MATCH(1,(Hours!$C$5:$C$604=INDEX($C:$C,ROW(),1))*(Hours!$B$5:$B$604=MAX(IF(Hours!$C$5:$C$604=INDEX($C:$C,ROW(),1),Hours!$B$5:$B$604))),0)),""))</f>
        <v/>
      </c>
      <c r="J32" s="170" t="str">
        <f t="array" ref="J32">IF(INDEX($F:$F,ROW(),1)="","",IFERROR(INDEX(Hours!$L$5:$L$604,MATCH(1,(Hours!$C$5:$C$604=INDEX($C:$C,ROW(),1))*(Hours!$B$5:$B$604=MAX(IF(Hours!$C$5:$C$604=INDEX($C:$C,ROW(),1),Hours!$B$5:$B$604))),0)),""))</f>
        <v/>
      </c>
      <c r="K32" s="108" t="str">
        <f t="array" aca="1" ref="K32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2" s="111" t="str">
        <f t="shared" ca="1" si="1"/>
        <v/>
      </c>
      <c r="M32" s="90" t="str">
        <f t="array" ref="M32">IF(INDEX(C:C,ROW(),1)="","",IFERROR(INDEX(Thickness!$I$5:$I$604,MATCH(1,(Thickness!$C$5:$C$604=INDEX(C:C,ROW(),1))*(Thickness!$B$5:$B$604=MAX(IF(Thickness!$C$5:$C$604=INDEX(C:C,ROW(),1),Thickness!$B$5:$B$604))),0)),""))</f>
        <v/>
      </c>
    </row>
    <row r="33" spans="3:13" ht="24.95" customHeight="1" x14ac:dyDescent="0.2">
      <c r="C33" s="190" t="s">
        <v>81</v>
      </c>
      <c r="D33" s="122" t="str">
        <f>IF(INDEX(C:C,ROW(),1)="","",INDEX('Track Installation'!C:C,MATCH(INDEX(C:C,ROW(),1),'Track Installation'!D:D,FALSE),1))</f>
        <v/>
      </c>
      <c r="E33" s="122" t="str">
        <f>IF(INDEX(C:C,ROW(),1)="","",INDEX('Track Installation'!B:B,MATCH(INDEX(C:C,ROW(),1),'Track Installation'!D:D,FALSE),1))</f>
        <v/>
      </c>
      <c r="F33" s="108" t="str">
        <f t="array" ref="F33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3" s="104" t="str">
        <f t="array" ref="G33">IF(OR(INDEX(C:C,ROW(),1)="",INDEX(F:F,ROW(),1)=""),"",SUMPRODUCT(('Track Installation'!D$5:D$53=INDEX(C:C,ROW(),1))*('Track Installation'!E$5:E$53=INDEX(F:F,ROW(),1)),('Track Installation'!I$5:I$53)))</f>
        <v/>
      </c>
      <c r="H33" s="111" t="str">
        <f t="shared" ca="1" si="0"/>
        <v/>
      </c>
      <c r="I33" s="114" t="str">
        <f t="array" ref="I33">IF(INDEX($F:$F,ROW(),1)="","",IFERROR(INDEX(Hours!$H$5:$H$604,MATCH(1,(Hours!$C$5:$C$604=INDEX($C:$C,ROW(),1))*(Hours!$B$5:$B$604=MAX(IF(Hours!$C$5:$C$604=INDEX($C:$C,ROW(),1),Hours!$B$5:$B$604))),0)),""))</f>
        <v/>
      </c>
      <c r="J33" s="170" t="str">
        <f t="array" ref="J33">IF(INDEX($F:$F,ROW(),1)="","",IFERROR(INDEX(Hours!$L$5:$L$604,MATCH(1,(Hours!$C$5:$C$604=INDEX($C:$C,ROW(),1))*(Hours!$B$5:$B$604=MAX(IF(Hours!$C$5:$C$604=INDEX($C:$C,ROW(),1),Hours!$B$5:$B$604))),0)),""))</f>
        <v/>
      </c>
      <c r="K33" s="108" t="str">
        <f t="array" aca="1" ref="K33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3" s="111" t="str">
        <f t="shared" ca="1" si="1"/>
        <v/>
      </c>
      <c r="M33" s="90" t="str">
        <f t="array" ref="M33">IF(INDEX(C:C,ROW(),1)="","",IFERROR(INDEX(Thickness!$I$5:$I$604,MATCH(1,(Thickness!$C$5:$C$604=INDEX(C:C,ROW(),1))*(Thickness!$B$5:$B$604=MAX(IF(Thickness!$C$5:$C$604=INDEX(C:C,ROW(),1),Thickness!$B$5:$B$604))),0)),""))</f>
        <v/>
      </c>
    </row>
    <row r="34" spans="3:13" ht="24.95" customHeight="1" x14ac:dyDescent="0.2">
      <c r="C34" s="190" t="s">
        <v>81</v>
      </c>
      <c r="D34" s="122" t="str">
        <f>IF(INDEX(C:C,ROW(),1)="","",INDEX('Track Installation'!C:C,MATCH(INDEX(C:C,ROW(),1),'Track Installation'!D:D,FALSE),1))</f>
        <v/>
      </c>
      <c r="E34" s="122" t="str">
        <f>IF(INDEX(C:C,ROW(),1)="","",INDEX('Track Installation'!B:B,MATCH(INDEX(C:C,ROW(),1),'Track Installation'!D:D,FALSE),1))</f>
        <v/>
      </c>
      <c r="F34" s="108" t="str">
        <f t="array" ref="F34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4" s="104" t="str">
        <f t="array" ref="G34">IF(OR(INDEX(C:C,ROW(),1)="",INDEX(F:F,ROW(),1)=""),"",SUMPRODUCT(('Track Installation'!D$5:D$53=INDEX(C:C,ROW(),1))*('Track Installation'!E$5:E$53=INDEX(F:F,ROW(),1)),('Track Installation'!I$5:I$53)))</f>
        <v/>
      </c>
      <c r="H34" s="111" t="str">
        <f t="shared" ca="1" si="0"/>
        <v/>
      </c>
      <c r="I34" s="114" t="str">
        <f t="array" ref="I34">IF(INDEX($F:$F,ROW(),1)="","",IFERROR(INDEX(Hours!$H$5:$H$604,MATCH(1,(Hours!$C$5:$C$604=INDEX($C:$C,ROW(),1))*(Hours!$B$5:$B$604=MAX(IF(Hours!$C$5:$C$604=INDEX($C:$C,ROW(),1),Hours!$B$5:$B$604))),0)),""))</f>
        <v/>
      </c>
      <c r="J34" s="170" t="str">
        <f t="array" ref="J34">IF(INDEX($F:$F,ROW(),1)="","",IFERROR(INDEX(Hours!$L$5:$L$604,MATCH(1,(Hours!$C$5:$C$604=INDEX($C:$C,ROW(),1))*(Hours!$B$5:$B$604=MAX(IF(Hours!$C$5:$C$604=INDEX($C:$C,ROW(),1),Hours!$B$5:$B$604))),0)),""))</f>
        <v/>
      </c>
      <c r="K34" s="108" t="str">
        <f t="array" aca="1" ref="K34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4" s="111" t="str">
        <f t="shared" ca="1" si="1"/>
        <v/>
      </c>
      <c r="M34" s="90" t="str">
        <f t="array" ref="M34">IF(INDEX(C:C,ROW(),1)="","",IFERROR(INDEX(Thickness!$I$5:$I$604,MATCH(1,(Thickness!$C$5:$C$604=INDEX(C:C,ROW(),1))*(Thickness!$B$5:$B$604=MAX(IF(Thickness!$C$5:$C$604=INDEX(C:C,ROW(),1),Thickness!$B$5:$B$604))),0)),""))</f>
        <v/>
      </c>
    </row>
    <row r="35" spans="3:13" ht="24.95" customHeight="1" x14ac:dyDescent="0.2">
      <c r="C35" s="190" t="s">
        <v>81</v>
      </c>
      <c r="D35" s="122" t="str">
        <f>IF(INDEX(C:C,ROW(),1)="","",INDEX('Track Installation'!C:C,MATCH(INDEX(C:C,ROW(),1),'Track Installation'!D:D,FALSE),1))</f>
        <v/>
      </c>
      <c r="E35" s="122" t="str">
        <f>IF(INDEX(C:C,ROW(),1)="","",INDEX('Track Installation'!B:B,MATCH(INDEX(C:C,ROW(),1),'Track Installation'!D:D,FALSE),1))</f>
        <v/>
      </c>
      <c r="F35" s="108" t="str">
        <f t="array" ref="F35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5" s="104" t="str">
        <f t="array" ref="G35">IF(OR(INDEX(C:C,ROW(),1)="",INDEX(F:F,ROW(),1)=""),"",SUMPRODUCT(('Track Installation'!D$5:D$53=INDEX(C:C,ROW(),1))*('Track Installation'!E$5:E$53=INDEX(F:F,ROW(),1)),('Track Installation'!I$5:I$53)))</f>
        <v/>
      </c>
      <c r="H35" s="111" t="str">
        <f t="shared" ca="1" si="0"/>
        <v/>
      </c>
      <c r="I35" s="114" t="str">
        <f t="array" ref="I35">IF(INDEX($F:$F,ROW(),1)="","",IFERROR(INDEX(Hours!$H$5:$H$604,MATCH(1,(Hours!$C$5:$C$604=INDEX($C:$C,ROW(),1))*(Hours!$B$5:$B$604=MAX(IF(Hours!$C$5:$C$604=INDEX($C:$C,ROW(),1),Hours!$B$5:$B$604))),0)),""))</f>
        <v/>
      </c>
      <c r="J35" s="170" t="str">
        <f t="array" ref="J35">IF(INDEX($F:$F,ROW(),1)="","",IFERROR(INDEX(Hours!$L$5:$L$604,MATCH(1,(Hours!$C$5:$C$604=INDEX($C:$C,ROW(),1))*(Hours!$B$5:$B$604=MAX(IF(Hours!$C$5:$C$604=INDEX($C:$C,ROW(),1),Hours!$B$5:$B$604))),0)),""))</f>
        <v/>
      </c>
      <c r="K35" s="108" t="str">
        <f t="array" aca="1" ref="K35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5" s="111" t="str">
        <f t="shared" ca="1" si="1"/>
        <v/>
      </c>
      <c r="M35" s="90" t="str">
        <f t="array" ref="M35">IF(INDEX(C:C,ROW(),1)="","",IFERROR(INDEX(Thickness!$I$5:$I$604,MATCH(1,(Thickness!$C$5:$C$604=INDEX(C:C,ROW(),1))*(Thickness!$B$5:$B$604=MAX(IF(Thickness!$C$5:$C$604=INDEX(C:C,ROW(),1),Thickness!$B$5:$B$604))),0)),""))</f>
        <v/>
      </c>
    </row>
    <row r="36" spans="3:13" ht="24.95" customHeight="1" x14ac:dyDescent="0.2">
      <c r="C36" s="190" t="s">
        <v>81</v>
      </c>
      <c r="D36" s="122" t="str">
        <f>IF(INDEX(C:C,ROW(),1)="","",INDEX('Track Installation'!C:C,MATCH(INDEX(C:C,ROW(),1),'Track Installation'!D:D,FALSE),1))</f>
        <v/>
      </c>
      <c r="E36" s="122" t="str">
        <f>IF(INDEX(C:C,ROW(),1)="","",INDEX('Track Installation'!B:B,MATCH(INDEX(C:C,ROW(),1),'Track Installation'!D:D,FALSE),1))</f>
        <v/>
      </c>
      <c r="F36" s="108" t="str">
        <f t="array" ref="F36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6" s="104" t="str">
        <f t="array" ref="G36">IF(OR(INDEX(C:C,ROW(),1)="",INDEX(F:F,ROW(),1)=""),"",SUMPRODUCT(('Track Installation'!D$5:D$53=INDEX(C:C,ROW(),1))*('Track Installation'!E$5:E$53=INDEX(F:F,ROW(),1)),('Track Installation'!I$5:I$53)))</f>
        <v/>
      </c>
      <c r="H36" s="111" t="str">
        <f t="shared" ca="1" si="0"/>
        <v/>
      </c>
      <c r="I36" s="114" t="str">
        <f t="array" ref="I36">IF(INDEX($F:$F,ROW(),1)="","",IFERROR(INDEX(Hours!$H$5:$H$604,MATCH(1,(Hours!$C$5:$C$604=INDEX($C:$C,ROW(),1))*(Hours!$B$5:$B$604=MAX(IF(Hours!$C$5:$C$604=INDEX($C:$C,ROW(),1),Hours!$B$5:$B$604))),0)),""))</f>
        <v/>
      </c>
      <c r="J36" s="170" t="str">
        <f t="array" ref="J36">IF(INDEX($F:$F,ROW(),1)="","",IFERROR(INDEX(Hours!$L$5:$L$604,MATCH(1,(Hours!$C$5:$C$604=INDEX($C:$C,ROW(),1))*(Hours!$B$5:$B$604=MAX(IF(Hours!$C$5:$C$604=INDEX($C:$C,ROW(),1),Hours!$B$5:$B$604))),0)),""))</f>
        <v/>
      </c>
      <c r="K36" s="108" t="str">
        <f t="array" aca="1" ref="K36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6" s="111" t="str">
        <f t="shared" ca="1" si="1"/>
        <v/>
      </c>
      <c r="M36" s="90" t="str">
        <f t="array" ref="M36">IF(INDEX(C:C,ROW(),1)="","",IFERROR(INDEX(Thickness!$I$5:$I$604,MATCH(1,(Thickness!$C$5:$C$604=INDEX(C:C,ROW(),1))*(Thickness!$B$5:$B$604=MAX(IF(Thickness!$C$5:$C$604=INDEX(C:C,ROW(),1),Thickness!$B$5:$B$604))),0)),""))</f>
        <v/>
      </c>
    </row>
    <row r="37" spans="3:13" ht="24.95" customHeight="1" x14ac:dyDescent="0.2">
      <c r="C37" s="190" t="s">
        <v>81</v>
      </c>
      <c r="D37" s="122" t="str">
        <f>IF(INDEX(C:C,ROW(),1)="","",INDEX('Track Installation'!C:C,MATCH(INDEX(C:C,ROW(),1),'Track Installation'!D:D,FALSE),1))</f>
        <v/>
      </c>
      <c r="E37" s="122" t="str">
        <f>IF(INDEX(C:C,ROW(),1)="","",INDEX('Track Installation'!B:B,MATCH(INDEX(C:C,ROW(),1),'Track Installation'!D:D,FALSE),1))</f>
        <v/>
      </c>
      <c r="F37" s="108" t="str">
        <f t="array" ref="F37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7" s="104" t="str">
        <f t="array" ref="G37">IF(OR(INDEX(C:C,ROW(),1)="",INDEX(F:F,ROW(),1)=""),"",SUMPRODUCT(('Track Installation'!D$5:D$53=INDEX(C:C,ROW(),1))*('Track Installation'!E$5:E$53=INDEX(F:F,ROW(),1)),('Track Installation'!I$5:I$53)))</f>
        <v/>
      </c>
      <c r="H37" s="111" t="str">
        <f t="shared" ca="1" si="0"/>
        <v/>
      </c>
      <c r="I37" s="114" t="str">
        <f t="array" ref="I37">IF(INDEX($F:$F,ROW(),1)="","",IFERROR(INDEX(Hours!$H$5:$H$604,MATCH(1,(Hours!$C$5:$C$604=INDEX($C:$C,ROW(),1))*(Hours!$B$5:$B$604=MAX(IF(Hours!$C$5:$C$604=INDEX($C:$C,ROW(),1),Hours!$B$5:$B$604))),0)),""))</f>
        <v/>
      </c>
      <c r="J37" s="170" t="str">
        <f t="array" ref="J37">IF(INDEX($F:$F,ROW(),1)="","",IFERROR(INDEX(Hours!$L$5:$L$604,MATCH(1,(Hours!$C$5:$C$604=INDEX($C:$C,ROW(),1))*(Hours!$B$5:$B$604=MAX(IF(Hours!$C$5:$C$604=INDEX($C:$C,ROW(),1),Hours!$B$5:$B$604))),0)),""))</f>
        <v/>
      </c>
      <c r="K37" s="108" t="str">
        <f t="array" aca="1" ref="K37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7" s="111" t="str">
        <f t="shared" ca="1" si="1"/>
        <v/>
      </c>
      <c r="M37" s="90" t="str">
        <f t="array" ref="M37">IF(INDEX(C:C,ROW(),1)="","",IFERROR(INDEX(Thickness!$I$5:$I$604,MATCH(1,(Thickness!$C$5:$C$604=INDEX(C:C,ROW(),1))*(Thickness!$B$5:$B$604=MAX(IF(Thickness!$C$5:$C$604=INDEX(C:C,ROW(),1),Thickness!$B$5:$B$604))),0)),""))</f>
        <v/>
      </c>
    </row>
    <row r="38" spans="3:13" ht="24.95" customHeight="1" x14ac:dyDescent="0.2">
      <c r="C38" s="190" t="s">
        <v>81</v>
      </c>
      <c r="D38" s="122" t="str">
        <f>IF(INDEX(C:C,ROW(),1)="","",INDEX('Track Installation'!C:C,MATCH(INDEX(C:C,ROW(),1),'Track Installation'!D:D,FALSE),1))</f>
        <v/>
      </c>
      <c r="E38" s="122" t="str">
        <f>IF(INDEX(C:C,ROW(),1)="","",INDEX('Track Installation'!B:B,MATCH(INDEX(C:C,ROW(),1),'Track Installation'!D:D,FALSE),1))</f>
        <v/>
      </c>
      <c r="F38" s="108" t="str">
        <f t="array" ref="F38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8" s="104" t="str">
        <f t="array" ref="G38">IF(OR(INDEX(C:C,ROW(),1)="",INDEX(F:F,ROW(),1)=""),"",SUMPRODUCT(('Track Installation'!D$5:D$53=INDEX(C:C,ROW(),1))*('Track Installation'!E$5:E$53=INDEX(F:F,ROW(),1)),('Track Installation'!I$5:I$53)))</f>
        <v/>
      </c>
      <c r="H38" s="111" t="str">
        <f t="shared" ca="1" si="0"/>
        <v/>
      </c>
      <c r="I38" s="114" t="str">
        <f t="array" ref="I38">IF(INDEX($F:$F,ROW(),1)="","",IFERROR(INDEX(Hours!$H$5:$H$604,MATCH(1,(Hours!$C$5:$C$604=INDEX($C:$C,ROW(),1))*(Hours!$B$5:$B$604=MAX(IF(Hours!$C$5:$C$604=INDEX($C:$C,ROW(),1),Hours!$B$5:$B$604))),0)),""))</f>
        <v/>
      </c>
      <c r="J38" s="170" t="str">
        <f t="array" ref="J38">IF(INDEX($F:$F,ROW(),1)="","",IFERROR(INDEX(Hours!$L$5:$L$604,MATCH(1,(Hours!$C$5:$C$604=INDEX($C:$C,ROW(),1))*(Hours!$B$5:$B$604=MAX(IF(Hours!$C$5:$C$604=INDEX($C:$C,ROW(),1),Hours!$B$5:$B$604))),0)),""))</f>
        <v/>
      </c>
      <c r="K38" s="108" t="str">
        <f t="array" aca="1" ref="K38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8" s="111" t="str">
        <f t="shared" ca="1" si="1"/>
        <v/>
      </c>
      <c r="M38" s="90" t="str">
        <f t="array" ref="M38">IF(INDEX(C:C,ROW(),1)="","",IFERROR(INDEX(Thickness!$I$5:$I$604,MATCH(1,(Thickness!$C$5:$C$604=INDEX(C:C,ROW(),1))*(Thickness!$B$5:$B$604=MAX(IF(Thickness!$C$5:$C$604=INDEX(C:C,ROW(),1),Thickness!$B$5:$B$604))),0)),""))</f>
        <v/>
      </c>
    </row>
    <row r="39" spans="3:13" ht="24.95" customHeight="1" x14ac:dyDescent="0.2">
      <c r="C39" s="190" t="s">
        <v>81</v>
      </c>
      <c r="D39" s="122" t="str">
        <f>IF(INDEX(C:C,ROW(),1)="","",INDEX('Track Installation'!C:C,MATCH(INDEX(C:C,ROW(),1),'Track Installation'!D:D,FALSE),1))</f>
        <v/>
      </c>
      <c r="E39" s="122" t="str">
        <f>IF(INDEX(C:C,ROW(),1)="","",INDEX('Track Installation'!B:B,MATCH(INDEX(C:C,ROW(),1),'Track Installation'!D:D,FALSE),1))</f>
        <v/>
      </c>
      <c r="F39" s="108" t="str">
        <f t="array" ref="F39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39" s="104" t="str">
        <f t="array" ref="G39">IF(OR(INDEX(C:C,ROW(),1)="",INDEX(F:F,ROW(),1)=""),"",SUMPRODUCT(('Track Installation'!D$5:D$53=INDEX(C:C,ROW(),1))*('Track Installation'!E$5:E$53=INDEX(F:F,ROW(),1)),('Track Installation'!I$5:I$53)))</f>
        <v/>
      </c>
      <c r="H39" s="111" t="str">
        <f t="shared" ca="1" si="0"/>
        <v/>
      </c>
      <c r="I39" s="114" t="str">
        <f t="array" ref="I39">IF(INDEX($F:$F,ROW(),1)="","",IFERROR(INDEX(Hours!$H$5:$H$604,MATCH(1,(Hours!$C$5:$C$604=INDEX($C:$C,ROW(),1))*(Hours!$B$5:$B$604=MAX(IF(Hours!$C$5:$C$604=INDEX($C:$C,ROW(),1),Hours!$B$5:$B$604))),0)),""))</f>
        <v/>
      </c>
      <c r="J39" s="170" t="str">
        <f t="array" ref="J39">IF(INDEX($F:$F,ROW(),1)="","",IFERROR(INDEX(Hours!$L$5:$L$604,MATCH(1,(Hours!$C$5:$C$604=INDEX($C:$C,ROW(),1))*(Hours!$B$5:$B$604=MAX(IF(Hours!$C$5:$C$604=INDEX($C:$C,ROW(),1),Hours!$B$5:$B$604))),0)),""))</f>
        <v/>
      </c>
      <c r="K39" s="108" t="str">
        <f t="array" aca="1" ref="K39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39" s="111" t="str">
        <f t="shared" ca="1" si="1"/>
        <v/>
      </c>
      <c r="M39" s="90" t="str">
        <f t="array" ref="M39">IF(INDEX(C:C,ROW(),1)="","",IFERROR(INDEX(Thickness!$I$5:$I$604,MATCH(1,(Thickness!$C$5:$C$604=INDEX(C:C,ROW(),1))*(Thickness!$B$5:$B$604=MAX(IF(Thickness!$C$5:$C$604=INDEX(C:C,ROW(),1),Thickness!$B$5:$B$604))),0)),""))</f>
        <v/>
      </c>
    </row>
    <row r="40" spans="3:13" ht="24.95" customHeight="1" x14ac:dyDescent="0.2">
      <c r="C40" s="190" t="s">
        <v>81</v>
      </c>
      <c r="D40" s="122" t="str">
        <f>IF(INDEX(C:C,ROW(),1)="","",INDEX('Track Installation'!C:C,MATCH(INDEX(C:C,ROW(),1),'Track Installation'!D:D,FALSE),1))</f>
        <v/>
      </c>
      <c r="E40" s="122" t="str">
        <f>IF(INDEX(C:C,ROW(),1)="","",INDEX('Track Installation'!B:B,MATCH(INDEX(C:C,ROW(),1),'Track Installation'!D:D,FALSE),1))</f>
        <v/>
      </c>
      <c r="F40" s="108" t="str">
        <f t="array" ref="F40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40" s="104" t="str">
        <f t="array" ref="G40">IF(OR(INDEX(C:C,ROW(),1)="",INDEX(F:F,ROW(),1)=""),"",SUMPRODUCT(('Track Installation'!D$5:D$53=INDEX(C:C,ROW(),1))*('Track Installation'!E$5:E$53=INDEX(F:F,ROW(),1)),('Track Installation'!I$5:I$53)))</f>
        <v/>
      </c>
      <c r="H40" s="111" t="str">
        <f t="shared" ca="1" si="0"/>
        <v/>
      </c>
      <c r="I40" s="114" t="str">
        <f t="array" ref="I40">IF(INDEX($F:$F,ROW(),1)="","",IFERROR(INDEX(Hours!$H$5:$H$604,MATCH(1,(Hours!$C$5:$C$604=INDEX($C:$C,ROW(),1))*(Hours!$B$5:$B$604=MAX(IF(Hours!$C$5:$C$604=INDEX($C:$C,ROW(),1),Hours!$B$5:$B$604))),0)),""))</f>
        <v/>
      </c>
      <c r="J40" s="170" t="str">
        <f t="array" ref="J40">IF(INDEX($F:$F,ROW(),1)="","",IFERROR(INDEX(Hours!$L$5:$L$604,MATCH(1,(Hours!$C$5:$C$604=INDEX($C:$C,ROW(),1))*(Hours!$B$5:$B$604=MAX(IF(Hours!$C$5:$C$604=INDEX($C:$C,ROW(),1),Hours!$B$5:$B$604))),0)),""))</f>
        <v/>
      </c>
      <c r="K40" s="108" t="str">
        <f t="array" aca="1" ref="K40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40" s="111" t="str">
        <f t="shared" ca="1" si="1"/>
        <v/>
      </c>
      <c r="M40" s="90" t="str">
        <f t="array" ref="M40">IF(INDEX(C:C,ROW(),1)="","",IFERROR(INDEX(Thickness!$I$5:$I$604,MATCH(1,(Thickness!$C$5:$C$604=INDEX(C:C,ROW(),1))*(Thickness!$B$5:$B$604=MAX(IF(Thickness!$C$5:$C$604=INDEX(C:C,ROW(),1),Thickness!$B$5:$B$604))),0)),""))</f>
        <v/>
      </c>
    </row>
    <row r="41" spans="3:13" ht="24.95" customHeight="1" x14ac:dyDescent="0.2">
      <c r="C41" s="190" t="s">
        <v>81</v>
      </c>
      <c r="D41" s="122" t="str">
        <f>IF(INDEX(C:C,ROW(),1)="","",INDEX('Track Installation'!C:C,MATCH(INDEX(C:C,ROW(),1),'Track Installation'!D:D,FALSE),1))</f>
        <v/>
      </c>
      <c r="E41" s="122" t="str">
        <f>IF(INDEX(C:C,ROW(),1)="","",INDEX('Track Installation'!B:B,MATCH(INDEX(C:C,ROW(),1),'Track Installation'!D:D,FALSE),1))</f>
        <v/>
      </c>
      <c r="F41" s="108" t="str">
        <f t="array" ref="F41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41" s="104" t="str">
        <f t="array" ref="G41">IF(OR(INDEX(C:C,ROW(),1)="",INDEX(F:F,ROW(),1)=""),"",SUMPRODUCT(('Track Installation'!D$5:D$53=INDEX(C:C,ROW(),1))*('Track Installation'!E$5:E$53=INDEX(F:F,ROW(),1)),('Track Installation'!I$5:I$53)))</f>
        <v/>
      </c>
      <c r="H41" s="111" t="str">
        <f t="shared" ca="1" si="0"/>
        <v/>
      </c>
      <c r="I41" s="114" t="str">
        <f t="array" ref="I41">IF(INDEX($F:$F,ROW(),1)="","",IFERROR(INDEX(Hours!$H$5:$H$604,MATCH(1,(Hours!$C$5:$C$604=INDEX($C:$C,ROW(),1))*(Hours!$B$5:$B$604=MAX(IF(Hours!$C$5:$C$604=INDEX($C:$C,ROW(),1),Hours!$B$5:$B$604))),0)),""))</f>
        <v/>
      </c>
      <c r="J41" s="170" t="str">
        <f t="array" ref="J41">IF(INDEX($F:$F,ROW(),1)="","",IFERROR(INDEX(Hours!$L$5:$L$604,MATCH(1,(Hours!$C$5:$C$604=INDEX($C:$C,ROW(),1))*(Hours!$B$5:$B$604=MAX(IF(Hours!$C$5:$C$604=INDEX($C:$C,ROW(),1),Hours!$B$5:$B$604))),0)),""))</f>
        <v/>
      </c>
      <c r="K41" s="108" t="str">
        <f t="array" aca="1" ref="K41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41" s="111" t="str">
        <f t="shared" ca="1" si="1"/>
        <v/>
      </c>
      <c r="M41" s="90" t="str">
        <f t="array" ref="M41">IF(INDEX(C:C,ROW(),1)="","",IFERROR(INDEX(Thickness!$I$5:$I$604,MATCH(1,(Thickness!$C$5:$C$604=INDEX(C:C,ROW(),1))*(Thickness!$B$5:$B$604=MAX(IF(Thickness!$C$5:$C$604=INDEX(C:C,ROW(),1),Thickness!$B$5:$B$604))),0)),""))</f>
        <v/>
      </c>
    </row>
    <row r="42" spans="3:13" ht="24.95" customHeight="1" x14ac:dyDescent="0.2">
      <c r="C42" s="190" t="s">
        <v>81</v>
      </c>
      <c r="D42" s="122" t="str">
        <f>IF(INDEX(C:C,ROW(),1)="","",INDEX('Track Installation'!C:C,MATCH(INDEX(C:C,ROW(),1),'Track Installation'!D:D,FALSE),1))</f>
        <v/>
      </c>
      <c r="E42" s="122" t="str">
        <f>IF(INDEX(C:C,ROW(),1)="","",INDEX('Track Installation'!B:B,MATCH(INDEX(C:C,ROW(),1),'Track Installation'!D:D,FALSE),1))</f>
        <v/>
      </c>
      <c r="F42" s="108" t="str">
        <f t="array" ref="F42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42" s="104" t="str">
        <f t="array" ref="G42">IF(OR(INDEX(C:C,ROW(),1)="",INDEX(F:F,ROW(),1)=""),"",SUMPRODUCT(('Track Installation'!D$5:D$53=INDEX(C:C,ROW(),1))*('Track Installation'!E$5:E$53=INDEX(F:F,ROW(),1)),('Track Installation'!I$5:I$53)))</f>
        <v/>
      </c>
      <c r="H42" s="111" t="str">
        <f t="shared" ca="1" si="0"/>
        <v/>
      </c>
      <c r="I42" s="114" t="str">
        <f t="array" ref="I42">IF(INDEX($F:$F,ROW(),1)="","",IFERROR(INDEX(Hours!$H$5:$H$604,MATCH(1,(Hours!$C$5:$C$604=INDEX($C:$C,ROW(),1))*(Hours!$B$5:$B$604=MAX(IF(Hours!$C$5:$C$604=INDEX($C:$C,ROW(),1),Hours!$B$5:$B$604))),0)),""))</f>
        <v/>
      </c>
      <c r="J42" s="170" t="str">
        <f t="array" ref="J42">IF(INDEX($F:$F,ROW(),1)="","",IFERROR(INDEX(Hours!$L$5:$L$604,MATCH(1,(Hours!$C$5:$C$604=INDEX($C:$C,ROW(),1))*(Hours!$B$5:$B$604=MAX(IF(Hours!$C$5:$C$604=INDEX($C:$C,ROW(),1),Hours!$B$5:$B$604))),0)),""))</f>
        <v/>
      </c>
      <c r="K42" s="108" t="str">
        <f t="array" aca="1" ref="K42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42" s="111" t="str">
        <f t="shared" ca="1" si="1"/>
        <v/>
      </c>
      <c r="M42" s="90" t="str">
        <f t="array" ref="M42">IF(INDEX(C:C,ROW(),1)="","",IFERROR(INDEX(Thickness!$I$5:$I$604,MATCH(1,(Thickness!$C$5:$C$604=INDEX(C:C,ROW(),1))*(Thickness!$B$5:$B$604=MAX(IF(Thickness!$C$5:$C$604=INDEX(C:C,ROW(),1),Thickness!$B$5:$B$604))),0)),""))</f>
        <v/>
      </c>
    </row>
    <row r="43" spans="3:13" ht="24.95" customHeight="1" x14ac:dyDescent="0.2">
      <c r="C43" s="191" t="s">
        <v>81</v>
      </c>
      <c r="D43" s="123" t="str">
        <f>IF(INDEX(C:C,ROW(),1)="","",INDEX('Track Installation'!C:C,MATCH(INDEX(C:C,ROW(),1),'Track Installation'!D:D,FALSE),1))</f>
        <v/>
      </c>
      <c r="E43" s="123" t="str">
        <f>IF(INDEX(C:C,ROW(),1)="","",INDEX('Track Installation'!B:B,MATCH(INDEX(C:C,ROW(),1),'Track Installation'!D:D,FALSE),1))</f>
        <v/>
      </c>
      <c r="F43" s="109" t="str">
        <f t="array" ref="F43">IF(INDEX($C$1:$C$43,ROW(),1)="","",IF(INDEX('Track Installation'!$E$5:$E$631,MATCH(INDEX($C$1:$C$43,ROW(),1),'Track Installation'!$D$5:$D$53,FALSE),1)="","",IFERROR(MAX(IF('Track Installation'!$D$5:$D$53=INDEX(C:C,ROW(),1),'Track Installation'!$E$5:$E$53)),"")))</f>
        <v/>
      </c>
      <c r="G43" s="105" t="str">
        <f t="array" ref="G43">IF(OR(INDEX(C:C,ROW(),1)="",INDEX(F:F,ROW(),1)=""),"",SUMPRODUCT(('Track Installation'!D$5:D$53=INDEX(C:C,ROW(),1))*('Track Installation'!E$5:E$53=INDEX(F:F,ROW(),1)),('Track Installation'!I$5:I$53)))</f>
        <v/>
      </c>
      <c r="H43" s="112" t="str">
        <f t="shared" ca="1" si="0"/>
        <v/>
      </c>
      <c r="I43" s="115" t="str">
        <f t="array" ref="I43">IF(INDEX($F:$F,ROW(),1)="","",IFERROR(INDEX(Hours!$H$5:$H$604,MATCH(1,(Hours!$C$5:$C$604=INDEX($C:$C,ROW(),1))*(Hours!$B$5:$B$604=MAX(IF(Hours!$C$5:$C$604=INDEX($C:$C,ROW(),1),Hours!$B$5:$B$604))),0)),""))</f>
        <v/>
      </c>
      <c r="J43" s="171" t="str">
        <f t="array" ref="J43">IF(INDEX($F:$F,ROW(),1)="","",IFERROR(INDEX(Hours!$L$5:$L$604,MATCH(1,(Hours!$C$5:$C$604=INDEX($C:$C,ROW(),1))*(Hours!$B$5:$B$604=MAX(IF(Hours!$C$5:$C$604=INDEX($C:$C,ROW(),1),Hours!$B$5:$B$604))),0)),""))</f>
        <v/>
      </c>
      <c r="K43" s="109" t="str">
        <f t="array" aca="1" ref="K43" ca="1">IF(INDEX($F:$F,ROW(),1)="","",IFERROR(DATE(YEAR(TODAY()),MONTH(TODAY())+1+INDEX(Hours!$I$5:$I$604,MATCH(1,(Hours!$C$5:$C$604=INDEX($C:$C,ROW(),1))*(Hours!$B$5:$B$604=MAX(IF(Hours!$C$5:$C$604=INDEX($C:$C,ROW(),1),Hours!$B$5:$B$604))),0)),DAY(0)),""))</f>
        <v/>
      </c>
      <c r="L43" s="112" t="str">
        <f t="shared" ca="1" si="1"/>
        <v/>
      </c>
      <c r="M43" s="91" t="str">
        <f t="array" ref="M43">IF(INDEX(C:C,ROW(),1)="","",IFERROR(INDEX(Thickness!$I$5:$I$604,MATCH(1,(Thickness!$C$5:$C$604=INDEX(C:C,ROW(),1))*(Thickness!$B$5:$B$604=MAX(IF(Thickness!$C$5:$C$604=INDEX(C:C,ROW(),1),Thickness!$B$5:$B$604))),0)),""))</f>
        <v/>
      </c>
    </row>
  </sheetData>
  <sheetProtection formatCells="0" sort="0" autoFilter="0"/>
  <autoFilter ref="C8:M43">
    <sortState ref="C9:M43">
      <sortCondition descending="1" ref="H14"/>
    </sortState>
  </autoFilter>
  <sortState ref="C9:M43">
    <sortCondition ref="C9"/>
  </sortState>
  <conditionalFormatting sqref="I9:I43">
    <cfRule type="cellIs" dxfId="15" priority="4" operator="between">
      <formula>$P$5</formula>
      <formula>$T$5</formula>
    </cfRule>
    <cfRule type="cellIs" dxfId="14" priority="5" operator="between">
      <formula>0</formula>
      <formula>$Q$5</formula>
    </cfRule>
    <cfRule type="cellIs" dxfId="13" priority="20" operator="between">
      <formula>$Q$5</formula>
      <formula>$P$5</formula>
    </cfRule>
  </conditionalFormatting>
  <conditionalFormatting sqref="L9:L43">
    <cfRule type="cellIs" dxfId="12" priority="11" operator="between">
      <formula>$S$3</formula>
      <formula>$T$3</formula>
    </cfRule>
    <cfRule type="cellIs" dxfId="11" priority="12" operator="between">
      <formula>$S$3+$R$3</formula>
      <formula>$T$3+$S$3</formula>
    </cfRule>
    <cfRule type="cellIs" dxfId="10" priority="13" operator="between">
      <formula>$Q$3</formula>
      <formula>$R$3</formula>
    </cfRule>
    <cfRule type="cellIs" dxfId="9" priority="14" operator="between">
      <formula>$P$3</formula>
      <formula>$Q$3</formula>
    </cfRule>
    <cfRule type="cellIs" dxfId="8" priority="15" operator="between">
      <formula>$P$3+21</formula>
      <formula>$P$3</formula>
    </cfRule>
  </conditionalFormatting>
  <conditionalFormatting sqref="J9:J43">
    <cfRule type="cellIs" dxfId="7" priority="1" operator="between">
      <formula>$P$5</formula>
      <formula>$T$5</formula>
    </cfRule>
    <cfRule type="cellIs" dxfId="6" priority="2" operator="between">
      <formula>0</formula>
      <formula>$Q$5</formula>
    </cfRule>
    <cfRule type="cellIs" dxfId="5" priority="3" operator="between">
      <formula>$Q$5</formula>
      <formula>$P$5</formula>
    </cfRule>
  </conditionalFormatting>
  <hyperlinks>
    <hyperlink ref="M2" location="About!A1" display="About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53"/>
  <sheetViews>
    <sheetView showGridLines="0" zoomScaleNormal="100" workbookViewId="0">
      <pane ySplit="4" topLeftCell="A5" activePane="bottomLeft" state="frozen"/>
      <selection pane="bottomLeft" activeCell="C6" sqref="C6"/>
    </sheetView>
  </sheetViews>
  <sheetFormatPr defaultRowHeight="20.100000000000001" customHeight="1" x14ac:dyDescent="0.2"/>
  <cols>
    <col min="1" max="1" width="6.42578125" style="1" customWidth="1"/>
    <col min="2" max="2" width="12" style="2" customWidth="1"/>
    <col min="3" max="3" width="10.28515625" style="2" customWidth="1"/>
    <col min="4" max="6" width="13.7109375" style="2" customWidth="1"/>
    <col min="7" max="8" width="13.7109375" style="30" customWidth="1"/>
    <col min="9" max="9" width="13.7109375" style="2" customWidth="1"/>
    <col min="10" max="10" width="11.85546875" style="130" customWidth="1"/>
    <col min="11" max="12" width="9.140625" style="1"/>
    <col min="13" max="13" width="13.5703125" style="1" customWidth="1"/>
    <col min="14" max="16384" width="9.140625" style="1"/>
  </cols>
  <sheetData>
    <row r="1" spans="2:13" ht="29.25" customHeight="1" x14ac:dyDescent="0.2"/>
    <row r="2" spans="2:13" ht="29.25" customHeight="1" thickBot="1" x14ac:dyDescent="0.25">
      <c r="B2" s="70" t="s">
        <v>49</v>
      </c>
      <c r="C2" s="101"/>
      <c r="D2" s="70"/>
      <c r="E2" s="70"/>
      <c r="F2" s="66"/>
      <c r="G2" s="68"/>
      <c r="H2" s="68"/>
      <c r="I2" s="66"/>
      <c r="K2" s="116"/>
      <c r="L2" s="117"/>
      <c r="M2" s="118"/>
    </row>
    <row r="3" spans="2:13" ht="6" customHeight="1" x14ac:dyDescent="0.2"/>
    <row r="4" spans="2:13" ht="66" customHeight="1" x14ac:dyDescent="0.2">
      <c r="B4" s="100" t="s">
        <v>67</v>
      </c>
      <c r="C4" s="100" t="s">
        <v>62</v>
      </c>
      <c r="D4" s="73" t="s">
        <v>10</v>
      </c>
      <c r="E4" s="74" t="s">
        <v>61</v>
      </c>
      <c r="F4" s="74" t="s">
        <v>84</v>
      </c>
      <c r="G4" s="75" t="s">
        <v>33</v>
      </c>
      <c r="H4" s="75" t="s">
        <v>38</v>
      </c>
      <c r="I4" s="74" t="s">
        <v>39</v>
      </c>
      <c r="J4" s="131"/>
    </row>
    <row r="5" spans="2:13" ht="20.100000000000001" customHeight="1" x14ac:dyDescent="0.2">
      <c r="B5" s="102" t="s">
        <v>80</v>
      </c>
      <c r="C5" s="102" t="s">
        <v>64</v>
      </c>
      <c r="D5" s="34" t="s">
        <v>18</v>
      </c>
      <c r="E5" s="29">
        <v>40308</v>
      </c>
      <c r="F5" s="28"/>
      <c r="G5" s="54">
        <v>44594</v>
      </c>
      <c r="H5" s="54"/>
      <c r="I5" s="62">
        <f>IF(INDEX(E:E,ROW(),1)="","",DATE(YEAR(INDEX(E:E,ROW(),1)),MONTH(INDEX(E:E,ROW(),1))+INDEX(Control!$I$5:$I$9,MATCH(INDEX(C:C,ROW(),1),Control!$D$5:$D$9,FALSE),1)+1,DAY(0)))</f>
        <v>41639</v>
      </c>
      <c r="J5" s="131"/>
    </row>
    <row r="6" spans="2:13" ht="20.100000000000001" customHeight="1" x14ac:dyDescent="0.2">
      <c r="B6" s="103" t="s">
        <v>80</v>
      </c>
      <c r="C6" s="103" t="s">
        <v>65</v>
      </c>
      <c r="D6" s="35" t="s">
        <v>20</v>
      </c>
      <c r="E6" s="29">
        <v>40626</v>
      </c>
      <c r="F6" s="29"/>
      <c r="G6" s="55">
        <v>81148</v>
      </c>
      <c r="H6" s="55"/>
      <c r="I6" s="63">
        <f>IF(INDEX(E:E,ROW(),1)="","",DATE(YEAR(INDEX(E:E,ROW(),1)),MONTH(INDEX(E:E,ROW(),1))+INDEX(Control!$I$5:$I$9,MATCH(INDEX(C:C,ROW(),1),Control!$D$5:$D$9,FALSE),1)+1,DAY(0)))</f>
        <v>41943</v>
      </c>
      <c r="J6" s="131"/>
    </row>
    <row r="7" spans="2:13" ht="20.100000000000001" customHeight="1" x14ac:dyDescent="0.2">
      <c r="B7" s="103" t="s">
        <v>68</v>
      </c>
      <c r="C7" s="103" t="s">
        <v>64</v>
      </c>
      <c r="D7" s="35" t="s">
        <v>59</v>
      </c>
      <c r="E7" s="29">
        <v>40674</v>
      </c>
      <c r="F7" s="29"/>
      <c r="G7" s="55">
        <v>25942</v>
      </c>
      <c r="H7" s="55">
        <v>1363</v>
      </c>
      <c r="I7" s="63">
        <f>IF(INDEX(E:E,ROW(),1)="","",DATE(YEAR(INDEX(E:E,ROW(),1)),MONTH(INDEX(E:E,ROW(),1))+INDEX(Control!$I$5:$I$9,MATCH(INDEX(C:C,ROW(),1),Control!$D$5:$D$9,FALSE),1)+1,DAY(0)))</f>
        <v>42004</v>
      </c>
      <c r="J7" s="131"/>
    </row>
    <row r="8" spans="2:13" ht="20.100000000000001" customHeight="1" x14ac:dyDescent="0.2">
      <c r="B8" s="103" t="s">
        <v>68</v>
      </c>
      <c r="C8" s="103" t="s">
        <v>64</v>
      </c>
      <c r="D8" s="35" t="s">
        <v>60</v>
      </c>
      <c r="E8" s="29">
        <v>41085</v>
      </c>
      <c r="F8" s="29"/>
      <c r="G8" s="55">
        <v>24045</v>
      </c>
      <c r="H8" s="55">
        <v>508</v>
      </c>
      <c r="I8" s="63">
        <f>IF(INDEX(E:E,ROW(),1)="","",DATE(YEAR(INDEX(E:E,ROW(),1)),MONTH(INDEX(E:E,ROW(),1))+INDEX(Control!$I$5:$I$9,MATCH(INDEX(C:C,ROW(),1),Control!$D$5:$D$9,FALSE),1)+1,DAY(0)))</f>
        <v>42400</v>
      </c>
      <c r="J8" s="131"/>
    </row>
    <row r="9" spans="2:13" ht="20.100000000000001" customHeight="1" x14ac:dyDescent="0.2">
      <c r="B9" s="103" t="s">
        <v>68</v>
      </c>
      <c r="C9" s="103" t="s">
        <v>65</v>
      </c>
      <c r="D9" s="35" t="s">
        <v>57</v>
      </c>
      <c r="E9" s="29">
        <v>41182</v>
      </c>
      <c r="F9" s="29"/>
      <c r="G9" s="55">
        <v>54449</v>
      </c>
      <c r="H9" s="55">
        <v>4493</v>
      </c>
      <c r="I9" s="63">
        <f>IF(INDEX(E:E,ROW(),1)="","",DATE(YEAR(INDEX(E:E,ROW(),1)),MONTH(INDEX(E:E,ROW(),1))+INDEX(Control!$I$5:$I$9,MATCH(INDEX(C:C,ROW(),1),Control!$D$5:$D$9,FALSE),1)+1,DAY(0)))</f>
        <v>42490</v>
      </c>
      <c r="J9" s="131"/>
    </row>
    <row r="10" spans="2:13" ht="20.100000000000001" customHeight="1" x14ac:dyDescent="0.2">
      <c r="B10" s="103" t="s">
        <v>80</v>
      </c>
      <c r="C10" s="103" t="s">
        <v>65</v>
      </c>
      <c r="D10" s="35" t="s">
        <v>12</v>
      </c>
      <c r="E10" s="29">
        <v>41220</v>
      </c>
      <c r="F10" s="29"/>
      <c r="G10" s="55">
        <v>26949</v>
      </c>
      <c r="H10" s="55">
        <v>1408</v>
      </c>
      <c r="I10" s="63">
        <f>IF(INDEX(E:E,ROW(),1)="","",DATE(YEAR(INDEX(E:E,ROW(),1)),MONTH(INDEX(E:E,ROW(),1))+INDEX(Control!$I$5:$I$9,MATCH(INDEX(C:C,ROW(),1),Control!$D$5:$D$9,FALSE),1)+1,DAY(0)))</f>
        <v>42551</v>
      </c>
      <c r="J10" s="131"/>
    </row>
    <row r="11" spans="2:13" ht="20.100000000000001" customHeight="1" x14ac:dyDescent="0.2">
      <c r="B11" s="103" t="s">
        <v>68</v>
      </c>
      <c r="C11" s="103" t="s">
        <v>65</v>
      </c>
      <c r="D11" s="35" t="s">
        <v>54</v>
      </c>
      <c r="E11" s="29">
        <v>41342</v>
      </c>
      <c r="F11" s="29"/>
      <c r="G11" s="55">
        <v>74282</v>
      </c>
      <c r="H11" s="55">
        <v>6067</v>
      </c>
      <c r="I11" s="63">
        <f>IF(INDEX(E:E,ROW(),1)="","",DATE(YEAR(INDEX(E:E,ROW(),1)),MONTH(INDEX(E:E,ROW(),1))+INDEX(Control!$I$5:$I$9,MATCH(INDEX(C:C,ROW(),1),Control!$D$5:$D$9,FALSE),1)+1,DAY(0)))</f>
        <v>42674</v>
      </c>
      <c r="J11" s="131"/>
    </row>
    <row r="12" spans="2:13" ht="20.100000000000001" customHeight="1" x14ac:dyDescent="0.2">
      <c r="B12" s="133" t="s">
        <v>68</v>
      </c>
      <c r="C12" s="133" t="s">
        <v>66</v>
      </c>
      <c r="D12" s="134" t="s">
        <v>52</v>
      </c>
      <c r="E12" s="132">
        <v>41367</v>
      </c>
      <c r="F12" s="132"/>
      <c r="G12" s="41">
        <v>49180</v>
      </c>
      <c r="H12" s="41">
        <v>3916</v>
      </c>
      <c r="I12" s="63">
        <f>IF(INDEX(E:E,ROW(),1)="","",DATE(YEAR(INDEX(E:E,ROW(),1)),MONTH(INDEX(E:E,ROW(),1))+INDEX(Control!$I$5:$I$9,MATCH(INDEX(C:C,ROW(),1),Control!$D$5:$D$9,FALSE),1)+1,DAY(0)))</f>
        <v>42429</v>
      </c>
      <c r="J12" s="131"/>
    </row>
    <row r="13" spans="2:13" ht="20.100000000000001" customHeight="1" x14ac:dyDescent="0.2">
      <c r="B13" s="103" t="s">
        <v>80</v>
      </c>
      <c r="C13" s="103" t="s">
        <v>65</v>
      </c>
      <c r="D13" s="35" t="s">
        <v>15</v>
      </c>
      <c r="E13" s="29">
        <v>41428</v>
      </c>
      <c r="F13" s="29"/>
      <c r="G13" s="55">
        <v>57515</v>
      </c>
      <c r="H13" s="55">
        <v>2895</v>
      </c>
      <c r="I13" s="63">
        <f>IF(INDEX(E:E,ROW(),1)="","",DATE(YEAR(INDEX(E:E,ROW(),1)),MONTH(INDEX(E:E,ROW(),1))+INDEX(Control!$I$5:$I$9,MATCH(INDEX(C:C,ROW(),1),Control!$D$5:$D$9,FALSE),1)+1,DAY(0)))</f>
        <v>42766</v>
      </c>
      <c r="J13" s="131"/>
    </row>
    <row r="14" spans="2:13" ht="20.100000000000001" customHeight="1" x14ac:dyDescent="0.2">
      <c r="B14" s="103" t="s">
        <v>68</v>
      </c>
      <c r="C14" s="103" t="s">
        <v>66</v>
      </c>
      <c r="D14" s="35" t="s">
        <v>53</v>
      </c>
      <c r="E14" s="29">
        <v>41446</v>
      </c>
      <c r="F14" s="29"/>
      <c r="G14" s="55">
        <v>18279</v>
      </c>
      <c r="H14" s="55"/>
      <c r="I14" s="63">
        <f>IF(INDEX(E:E,ROW(),1)="","",DATE(YEAR(INDEX(E:E,ROW(),1)),MONTH(INDEX(E:E,ROW(),1))+INDEX(Control!$I$5:$I$9,MATCH(INDEX(C:C,ROW(),1),Control!$D$5:$D$9,FALSE),1)+1,DAY(0)))</f>
        <v>42490</v>
      </c>
      <c r="J14" s="131"/>
    </row>
    <row r="15" spans="2:13" ht="20.100000000000001" customHeight="1" x14ac:dyDescent="0.2">
      <c r="B15" s="103" t="s">
        <v>68</v>
      </c>
      <c r="C15" s="103" t="s">
        <v>65</v>
      </c>
      <c r="D15" s="35" t="s">
        <v>55</v>
      </c>
      <c r="E15" s="29">
        <v>41479</v>
      </c>
      <c r="F15" s="29"/>
      <c r="G15" s="55">
        <v>63641</v>
      </c>
      <c r="H15" s="55">
        <v>3473</v>
      </c>
      <c r="I15" s="63">
        <f>IF(INDEX(E:E,ROW(),1)="","",DATE(YEAR(INDEX(E:E,ROW(),1)),MONTH(INDEX(E:E,ROW(),1))+INDEX(Control!$I$5:$I$9,MATCH(INDEX(C:C,ROW(),1),Control!$D$5:$D$9,FALSE),1)+1,DAY(0)))</f>
        <v>42794</v>
      </c>
      <c r="J15" s="131"/>
    </row>
    <row r="16" spans="2:13" ht="20.100000000000001" customHeight="1" x14ac:dyDescent="0.2">
      <c r="B16" s="103" t="s">
        <v>80</v>
      </c>
      <c r="C16" s="103" t="s">
        <v>64</v>
      </c>
      <c r="D16" s="35" t="s">
        <v>14</v>
      </c>
      <c r="E16" s="29">
        <v>41542</v>
      </c>
      <c r="F16" s="29"/>
      <c r="G16" s="55">
        <v>45860</v>
      </c>
      <c r="H16" s="55"/>
      <c r="I16" s="63">
        <f>IF(INDEX(E:E,ROW(),1)="","",DATE(YEAR(INDEX(E:E,ROW(),1)),MONTH(INDEX(E:E,ROW(),1))+INDEX(Control!$I$5:$I$9,MATCH(INDEX(C:C,ROW(),1),Control!$D$5:$D$9,FALSE),1)+1,DAY(0)))</f>
        <v>42855</v>
      </c>
      <c r="J16" s="131"/>
    </row>
    <row r="17" spans="2:10" ht="20.100000000000001" customHeight="1" x14ac:dyDescent="0.2">
      <c r="B17" s="103" t="s">
        <v>68</v>
      </c>
      <c r="C17" s="103" t="s">
        <v>65</v>
      </c>
      <c r="D17" s="35" t="s">
        <v>58</v>
      </c>
      <c r="E17" s="29">
        <v>41628</v>
      </c>
      <c r="F17" s="29"/>
      <c r="G17" s="55">
        <v>50493</v>
      </c>
      <c r="H17" s="55">
        <v>3760</v>
      </c>
      <c r="I17" s="63">
        <f>IF(INDEX(E:E,ROW(),1)="","",DATE(YEAR(INDEX(E:E,ROW(),1)),MONTH(INDEX(E:E,ROW(),1))+INDEX(Control!$I$5:$I$9,MATCH(INDEX(C:C,ROW(),1),Control!$D$5:$D$9,FALSE),1)+1,DAY(0)))</f>
        <v>42947</v>
      </c>
      <c r="J17" s="131"/>
    </row>
    <row r="18" spans="2:10" ht="20.100000000000001" customHeight="1" x14ac:dyDescent="0.2">
      <c r="B18" s="103" t="s">
        <v>80</v>
      </c>
      <c r="C18" s="103" t="s">
        <v>65</v>
      </c>
      <c r="D18" s="35" t="s">
        <v>19</v>
      </c>
      <c r="E18" s="29">
        <v>41689</v>
      </c>
      <c r="F18" s="29"/>
      <c r="G18" s="55">
        <v>23936</v>
      </c>
      <c r="H18" s="55">
        <v>1131</v>
      </c>
      <c r="I18" s="63">
        <f>IF(INDEX(E:E,ROW(),1)="","",DATE(YEAR(INDEX(E:E,ROW(),1)),MONTH(INDEX(E:E,ROW(),1))+INDEX(Control!$I$5:$I$9,MATCH(INDEX(C:C,ROW(),1),Control!$D$5:$D$9,FALSE),1)+1,DAY(0)))</f>
        <v>43008</v>
      </c>
      <c r="J18" s="131"/>
    </row>
    <row r="19" spans="2:10" ht="20.100000000000001" customHeight="1" x14ac:dyDescent="0.2">
      <c r="B19" s="103" t="s">
        <v>80</v>
      </c>
      <c r="C19" s="103" t="s">
        <v>65</v>
      </c>
      <c r="D19" s="35" t="s">
        <v>11</v>
      </c>
      <c r="E19" s="29">
        <v>41692</v>
      </c>
      <c r="F19" s="29"/>
      <c r="G19" s="55">
        <v>95418</v>
      </c>
      <c r="H19" s="55">
        <v>4674</v>
      </c>
      <c r="I19" s="63">
        <f>IF(INDEX(E:E,ROW(),1)="","",DATE(YEAR(INDEX(E:E,ROW(),1)),MONTH(INDEX(E:E,ROW(),1))+INDEX(Control!$I$5:$I$9,MATCH(INDEX(C:C,ROW(),1),Control!$D$5:$D$9,FALSE),1)+1,DAY(0)))</f>
        <v>43008</v>
      </c>
      <c r="J19" s="131"/>
    </row>
    <row r="20" spans="2:10" ht="20.100000000000001" customHeight="1" x14ac:dyDescent="0.2">
      <c r="B20" s="103" t="s">
        <v>68</v>
      </c>
      <c r="C20" s="103" t="s">
        <v>65</v>
      </c>
      <c r="D20" s="35" t="s">
        <v>56</v>
      </c>
      <c r="E20" s="29">
        <v>41715</v>
      </c>
      <c r="F20" s="29"/>
      <c r="G20" s="55">
        <v>66411</v>
      </c>
      <c r="H20" s="55">
        <v>3629</v>
      </c>
      <c r="I20" s="63">
        <f>IF(INDEX(E:E,ROW(),1)="","",DATE(YEAR(INDEX(E:E,ROW(),1)),MONTH(INDEX(E:E,ROW(),1))+INDEX(Control!$I$5:$I$9,MATCH(INDEX(C:C,ROW(),1),Control!$D$5:$D$9,FALSE),1)+1,DAY(0)))</f>
        <v>43039</v>
      </c>
      <c r="J20" s="131"/>
    </row>
    <row r="21" spans="2:10" ht="20.100000000000001" customHeight="1" x14ac:dyDescent="0.2">
      <c r="B21" s="103" t="s">
        <v>80</v>
      </c>
      <c r="C21" s="103" t="s">
        <v>65</v>
      </c>
      <c r="D21" s="35" t="s">
        <v>17</v>
      </c>
      <c r="E21" s="29">
        <v>41718</v>
      </c>
      <c r="F21" s="29"/>
      <c r="G21" s="55">
        <v>62315</v>
      </c>
      <c r="H21" s="55">
        <v>3447</v>
      </c>
      <c r="I21" s="63">
        <f>IF(INDEX(E:E,ROW(),1)="","",DATE(YEAR(INDEX(E:E,ROW(),1)),MONTH(INDEX(E:E,ROW(),1))+INDEX(Control!$I$5:$I$9,MATCH(INDEX(C:C,ROW(),1),Control!$D$5:$D$9,FALSE),1)+1,DAY(0)))</f>
        <v>43039</v>
      </c>
      <c r="J21" s="131"/>
    </row>
    <row r="22" spans="2:10" ht="20.100000000000001" customHeight="1" x14ac:dyDescent="0.2">
      <c r="B22" s="103" t="s">
        <v>80</v>
      </c>
      <c r="C22" s="103" t="s">
        <v>65</v>
      </c>
      <c r="D22" s="36" t="s">
        <v>16</v>
      </c>
      <c r="E22" s="29">
        <v>41799</v>
      </c>
      <c r="F22" s="29"/>
      <c r="G22" s="55">
        <v>95198</v>
      </c>
      <c r="H22" s="55">
        <v>4372</v>
      </c>
      <c r="I22" s="63">
        <f>IF(INDEX(E:E,ROW(),1)="","",DATE(YEAR(INDEX(E:E,ROW(),1)),MONTH(INDEX(E:E,ROW(),1))+INDEX(Control!$I$5:$I$9,MATCH(INDEX(C:C,ROW(),1),Control!$D$5:$D$9,FALSE),1)+1,DAY(0)))</f>
        <v>43131</v>
      </c>
      <c r="J22" s="131"/>
    </row>
    <row r="23" spans="2:10" ht="20.100000000000001" customHeight="1" x14ac:dyDescent="0.2">
      <c r="B23" s="4"/>
      <c r="C23" s="4"/>
      <c r="D23" s="36"/>
      <c r="E23" s="29"/>
      <c r="F23" s="29"/>
      <c r="G23" s="55"/>
      <c r="H23" s="55"/>
      <c r="I23" s="63" t="str">
        <f>IF(INDEX(E:E,ROW(),1)="","",DATE(YEAR(INDEX(E:E,ROW(),1)),MONTH(INDEX(E:E,ROW(),1))+INDEX(Control!$I$5:$I$9,MATCH(INDEX(C:C,ROW(),1),Control!$D$5:$D$9,FALSE),1)+1,DAY(0)))</f>
        <v/>
      </c>
    </row>
    <row r="24" spans="2:10" ht="20.100000000000001" customHeight="1" x14ac:dyDescent="0.2">
      <c r="B24" s="4"/>
      <c r="C24" s="4"/>
      <c r="D24" s="35"/>
      <c r="E24" s="29"/>
      <c r="F24" s="29"/>
      <c r="G24" s="55"/>
      <c r="H24" s="55"/>
      <c r="I24" s="63" t="str">
        <f>IF(INDEX(E:E,ROW(),1)="","",DATE(YEAR(INDEX(E:E,ROW(),1)),MONTH(INDEX(E:E,ROW(),1))+INDEX(Control!$I$5:$I$9,MATCH(INDEX(C:C,ROW(),1),Control!$D$5:$D$9,FALSE),1)+1,DAY(0)))</f>
        <v/>
      </c>
    </row>
    <row r="25" spans="2:10" ht="20.100000000000001" customHeight="1" x14ac:dyDescent="0.2">
      <c r="B25" s="4"/>
      <c r="C25" s="4"/>
      <c r="D25" s="35"/>
      <c r="E25" s="29"/>
      <c r="F25" s="29"/>
      <c r="G25" s="55"/>
      <c r="H25" s="55"/>
      <c r="I25" s="63" t="str">
        <f>IF(INDEX(E:E,ROW(),1)="","",DATE(YEAR(INDEX(E:E,ROW(),1)),MONTH(INDEX(E:E,ROW(),1))+INDEX(Control!$I$5:$I$9,MATCH(INDEX(C:C,ROW(),1),Control!$D$5:$D$9,FALSE),1)+1,DAY(0)))</f>
        <v/>
      </c>
    </row>
    <row r="26" spans="2:10" ht="20.100000000000001" customHeight="1" x14ac:dyDescent="0.2">
      <c r="B26" s="4"/>
      <c r="C26" s="4"/>
      <c r="D26" s="35"/>
      <c r="E26" s="29"/>
      <c r="F26" s="29"/>
      <c r="G26" s="55"/>
      <c r="H26" s="55"/>
      <c r="I26" s="63" t="str">
        <f>IF(INDEX(E:E,ROW(),1)="","",DATE(YEAR(INDEX(E:E,ROW(),1)),MONTH(INDEX(E:E,ROW(),1))+INDEX(Control!$I$5:$I$9,MATCH(INDEX(C:C,ROW(),1),Control!$D$5:$D$9,FALSE),1)+1,DAY(0)))</f>
        <v/>
      </c>
    </row>
    <row r="27" spans="2:10" ht="20.100000000000001" customHeight="1" x14ac:dyDescent="0.2">
      <c r="B27" s="4"/>
      <c r="C27" s="4"/>
      <c r="D27" s="35"/>
      <c r="E27" s="29"/>
      <c r="F27" s="29"/>
      <c r="G27" s="55"/>
      <c r="H27" s="55"/>
      <c r="I27" s="63" t="str">
        <f>IF(INDEX(E:E,ROW(),1)="","",DATE(YEAR(INDEX(E:E,ROW(),1)),MONTH(INDEX(E:E,ROW(),1))+INDEX(Control!$I$5:$I$9,MATCH(INDEX(C:C,ROW(),1),Control!$D$5:$D$9,FALSE),1)+1,DAY(0)))</f>
        <v/>
      </c>
    </row>
    <row r="28" spans="2:10" ht="20.100000000000001" customHeight="1" x14ac:dyDescent="0.2">
      <c r="B28" s="4"/>
      <c r="C28" s="4"/>
      <c r="D28" s="35"/>
      <c r="E28" s="29"/>
      <c r="F28" s="29"/>
      <c r="G28" s="55"/>
      <c r="H28" s="55"/>
      <c r="I28" s="63" t="str">
        <f>IF(INDEX(E:E,ROW(),1)="","",DATE(YEAR(INDEX(E:E,ROW(),1)),MONTH(INDEX(E:E,ROW(),1))+INDEX(Control!$I$5:$I$9,MATCH(INDEX(C:C,ROW(),1),Control!$D$5:$D$9,FALSE),1)+1,DAY(0)))</f>
        <v/>
      </c>
    </row>
    <row r="29" spans="2:10" ht="20.100000000000001" customHeight="1" x14ac:dyDescent="0.2">
      <c r="B29" s="4"/>
      <c r="C29" s="4"/>
      <c r="D29" s="35"/>
      <c r="E29" s="29"/>
      <c r="F29" s="29"/>
      <c r="G29" s="55"/>
      <c r="H29" s="55"/>
      <c r="I29" s="63" t="str">
        <f>IF(INDEX(E:E,ROW(),1)="","",DATE(YEAR(INDEX(E:E,ROW(),1)),MONTH(INDEX(E:E,ROW(),1))+INDEX(Control!$I$5:$I$9,MATCH(INDEX(C:C,ROW(),1),Control!$D$5:$D$9,FALSE),1)+1,DAY(0)))</f>
        <v/>
      </c>
    </row>
    <row r="30" spans="2:10" ht="20.100000000000001" customHeight="1" x14ac:dyDescent="0.2">
      <c r="B30" s="4"/>
      <c r="C30" s="4"/>
      <c r="D30" s="35"/>
      <c r="E30" s="29"/>
      <c r="F30" s="29"/>
      <c r="G30" s="55"/>
      <c r="H30" s="55"/>
      <c r="I30" s="63" t="str">
        <f>IF(INDEX(E:E,ROW(),1)="","",DATE(YEAR(INDEX(E:E,ROW(),1)),MONTH(INDEX(E:E,ROW(),1))+INDEX(Control!$I$5:$I$9,MATCH(INDEX(C:C,ROW(),1),Control!$D$5:$D$9,FALSE),1)+1,DAY(0)))</f>
        <v/>
      </c>
    </row>
    <row r="31" spans="2:10" ht="20.100000000000001" customHeight="1" x14ac:dyDescent="0.2">
      <c r="B31" s="4"/>
      <c r="C31" s="4"/>
      <c r="D31" s="35"/>
      <c r="E31" s="29"/>
      <c r="F31" s="29"/>
      <c r="G31" s="55"/>
      <c r="H31" s="55"/>
      <c r="I31" s="63" t="str">
        <f>IF(INDEX(E:E,ROW(),1)="","",DATE(YEAR(INDEX(E:E,ROW(),1)),MONTH(INDEX(E:E,ROW(),1))+INDEX(Control!$I$5:$I$9,MATCH(INDEX(C:C,ROW(),1),Control!$D$5:$D$9,FALSE),1)+1,DAY(0)))</f>
        <v/>
      </c>
    </row>
    <row r="32" spans="2:10" ht="20.100000000000001" customHeight="1" x14ac:dyDescent="0.2">
      <c r="B32" s="4"/>
      <c r="C32" s="4"/>
      <c r="D32" s="35"/>
      <c r="E32" s="29"/>
      <c r="F32" s="29"/>
      <c r="G32" s="55"/>
      <c r="H32" s="55"/>
      <c r="I32" s="63" t="str">
        <f>IF(INDEX(E:E,ROW(),1)="","",DATE(YEAR(INDEX(E:E,ROW(),1)),MONTH(INDEX(E:E,ROW(),1))+INDEX(Control!$I$5:$I$9,MATCH(INDEX(C:C,ROW(),1),Control!$D$5:$D$9,FALSE),1)+1,DAY(0)))</f>
        <v/>
      </c>
    </row>
    <row r="33" spans="2:9" ht="20.100000000000001" customHeight="1" x14ac:dyDescent="0.2">
      <c r="B33" s="4"/>
      <c r="C33" s="4"/>
      <c r="D33" s="35"/>
      <c r="E33" s="29"/>
      <c r="F33" s="29"/>
      <c r="G33" s="55"/>
      <c r="H33" s="55"/>
      <c r="I33" s="63" t="str">
        <f>IF(INDEX(E:E,ROW(),1)="","",DATE(YEAR(INDEX(E:E,ROW(),1)),MONTH(INDEX(E:E,ROW(),1))+INDEX(Control!$I$5:$I$9,MATCH(INDEX(C:C,ROW(),1),Control!$D$5:$D$9,FALSE),1)+1,DAY(0)))</f>
        <v/>
      </c>
    </row>
    <row r="34" spans="2:9" ht="20.100000000000001" customHeight="1" x14ac:dyDescent="0.2">
      <c r="B34" s="4"/>
      <c r="C34" s="4"/>
      <c r="D34" s="35"/>
      <c r="E34" s="29"/>
      <c r="F34" s="29"/>
      <c r="G34" s="55"/>
      <c r="H34" s="55"/>
      <c r="I34" s="63" t="str">
        <f>IF(INDEX(E:E,ROW(),1)="","",DATE(YEAR(INDEX(E:E,ROW(),1)),MONTH(INDEX(E:E,ROW(),1))+INDEX(Control!$I$5:$I$9,MATCH(INDEX(C:C,ROW(),1),Control!$D$5:$D$9,FALSE),1)+1,DAY(0)))</f>
        <v/>
      </c>
    </row>
    <row r="35" spans="2:9" ht="20.100000000000001" customHeight="1" x14ac:dyDescent="0.2">
      <c r="B35" s="4"/>
      <c r="C35" s="4"/>
      <c r="D35" s="35"/>
      <c r="E35" s="29"/>
      <c r="F35" s="29"/>
      <c r="G35" s="55"/>
      <c r="H35" s="55"/>
      <c r="I35" s="63" t="str">
        <f>IF(INDEX(E:E,ROW(),1)="","",DATE(YEAR(INDEX(E:E,ROW(),1)),MONTH(INDEX(E:E,ROW(),1))+INDEX(Control!$I$5:$I$9,MATCH(INDEX(C:C,ROW(),1),Control!$D$5:$D$9,FALSE),1)+1,DAY(0)))</f>
        <v/>
      </c>
    </row>
    <row r="36" spans="2:9" ht="20.100000000000001" customHeight="1" x14ac:dyDescent="0.2">
      <c r="B36" s="4"/>
      <c r="C36" s="4"/>
      <c r="D36" s="35"/>
      <c r="E36" s="29"/>
      <c r="F36" s="29"/>
      <c r="G36" s="55"/>
      <c r="H36" s="55"/>
      <c r="I36" s="63" t="str">
        <f>IF(INDEX(E:E,ROW(),1)="","",DATE(YEAR(INDEX(E:E,ROW(),1)),MONTH(INDEX(E:E,ROW(),1))+INDEX(Control!$I$5:$I$9,MATCH(INDEX(C:C,ROW(),1),Control!$D$5:$D$9,FALSE),1)+1,DAY(0)))</f>
        <v/>
      </c>
    </row>
    <row r="37" spans="2:9" ht="20.100000000000001" customHeight="1" x14ac:dyDescent="0.2">
      <c r="B37" s="4"/>
      <c r="C37" s="4"/>
      <c r="D37" s="35"/>
      <c r="E37" s="29"/>
      <c r="F37" s="29"/>
      <c r="G37" s="55"/>
      <c r="H37" s="55"/>
      <c r="I37" s="63" t="str">
        <f>IF(INDEX(E:E,ROW(),1)="","",DATE(YEAR(INDEX(E:E,ROW(),1)),MONTH(INDEX(E:E,ROW(),1))+INDEX(Control!$I$5:$I$9,MATCH(INDEX(C:C,ROW(),1),Control!$D$5:$D$9,FALSE),1)+1,DAY(0)))</f>
        <v/>
      </c>
    </row>
    <row r="38" spans="2:9" ht="20.100000000000001" customHeight="1" x14ac:dyDescent="0.2">
      <c r="B38" s="4"/>
      <c r="C38" s="4"/>
      <c r="D38" s="35"/>
      <c r="E38" s="29"/>
      <c r="F38" s="29"/>
      <c r="G38" s="55"/>
      <c r="H38" s="55"/>
      <c r="I38" s="63" t="str">
        <f>IF(INDEX(E:E,ROW(),1)="","",DATE(YEAR(INDEX(E:E,ROW(),1)),MONTH(INDEX(E:E,ROW(),1))+INDEX(Control!$I$5:$I$9,MATCH(INDEX(C:C,ROW(),1),Control!$D$5:$D$9,FALSE),1)+1,DAY(0)))</f>
        <v/>
      </c>
    </row>
    <row r="39" spans="2:9" ht="20.100000000000001" customHeight="1" x14ac:dyDescent="0.2">
      <c r="B39" s="4"/>
      <c r="C39" s="4"/>
      <c r="D39" s="35"/>
      <c r="E39" s="29"/>
      <c r="F39" s="29"/>
      <c r="G39" s="55"/>
      <c r="H39" s="55"/>
      <c r="I39" s="63" t="str">
        <f>IF(INDEX(E:E,ROW(),1)="","",DATE(YEAR(INDEX(E:E,ROW(),1)),MONTH(INDEX(E:E,ROW(),1))+INDEX(Control!$I$5:$I$9,MATCH(INDEX(C:C,ROW(),1),Control!$D$5:$D$9,FALSE),1)+1,DAY(0)))</f>
        <v/>
      </c>
    </row>
    <row r="40" spans="2:9" ht="20.100000000000001" customHeight="1" x14ac:dyDescent="0.2">
      <c r="B40" s="4"/>
      <c r="C40" s="4"/>
      <c r="D40" s="35"/>
      <c r="E40" s="29"/>
      <c r="F40" s="29"/>
      <c r="G40" s="55"/>
      <c r="H40" s="55"/>
      <c r="I40" s="63" t="str">
        <f>IF(INDEX(E:E,ROW(),1)="","",DATE(YEAR(INDEX(E:E,ROW(),1)),MONTH(INDEX(E:E,ROW(),1))+INDEX(Control!$I$5:$I$9,MATCH(INDEX(C:C,ROW(),1),Control!$D$5:$D$9,FALSE),1)+1,DAY(0)))</f>
        <v/>
      </c>
    </row>
    <row r="41" spans="2:9" ht="20.100000000000001" customHeight="1" x14ac:dyDescent="0.2">
      <c r="B41" s="4"/>
      <c r="C41" s="4"/>
      <c r="D41" s="35"/>
      <c r="E41" s="29"/>
      <c r="F41" s="29"/>
      <c r="G41" s="55"/>
      <c r="H41" s="55"/>
      <c r="I41" s="63" t="str">
        <f>IF(INDEX(E:E,ROW(),1)="","",DATE(YEAR(INDEX(E:E,ROW(),1)),MONTH(INDEX(E:E,ROW(),1))+INDEX(Control!$I$5:$I$9,MATCH(INDEX(C:C,ROW(),1),Control!$D$5:$D$9,FALSE),1)+1,DAY(0)))</f>
        <v/>
      </c>
    </row>
    <row r="42" spans="2:9" ht="20.100000000000001" customHeight="1" x14ac:dyDescent="0.2">
      <c r="B42" s="4"/>
      <c r="C42" s="4"/>
      <c r="D42" s="35"/>
      <c r="E42" s="29"/>
      <c r="F42" s="29"/>
      <c r="G42" s="55"/>
      <c r="H42" s="55"/>
      <c r="I42" s="63" t="str">
        <f>IF(INDEX(E:E,ROW(),1)="","",DATE(YEAR(INDEX(E:E,ROW(),1)),MONTH(INDEX(E:E,ROW(),1))+INDEX(Control!$I$5:$I$9,MATCH(INDEX(C:C,ROW(),1),Control!$D$5:$D$9,FALSE),1)+1,DAY(0)))</f>
        <v/>
      </c>
    </row>
    <row r="43" spans="2:9" ht="20.100000000000001" customHeight="1" x14ac:dyDescent="0.2">
      <c r="B43" s="4"/>
      <c r="C43" s="4"/>
      <c r="D43" s="35"/>
      <c r="E43" s="29"/>
      <c r="F43" s="29"/>
      <c r="G43" s="55"/>
      <c r="H43" s="55"/>
      <c r="I43" s="63" t="str">
        <f>IF(INDEX(E:E,ROW(),1)="","",DATE(YEAR(INDEX(E:E,ROW(),1)),MONTH(INDEX(E:E,ROW(),1))+INDEX(Control!$I$5:$I$9,MATCH(INDEX(C:C,ROW(),1),Control!$D$5:$D$9,FALSE),1)+1,DAY(0)))</f>
        <v/>
      </c>
    </row>
    <row r="44" spans="2:9" ht="20.100000000000001" customHeight="1" x14ac:dyDescent="0.2">
      <c r="B44" s="4"/>
      <c r="C44" s="4"/>
      <c r="D44" s="35"/>
      <c r="E44" s="29"/>
      <c r="F44" s="29"/>
      <c r="G44" s="55"/>
      <c r="H44" s="55"/>
      <c r="I44" s="63" t="str">
        <f>IF(INDEX(E:E,ROW(),1)="","",DATE(YEAR(INDEX(E:E,ROW(),1)),MONTH(INDEX(E:E,ROW(),1))+INDEX(Control!$I$5:$I$9,MATCH(INDEX(C:C,ROW(),1),Control!$D$5:$D$9,FALSE),1)+1,DAY(0)))</f>
        <v/>
      </c>
    </row>
    <row r="45" spans="2:9" ht="20.100000000000001" customHeight="1" x14ac:dyDescent="0.2">
      <c r="B45" s="4"/>
      <c r="C45" s="4"/>
      <c r="D45" s="35"/>
      <c r="E45" s="29"/>
      <c r="F45" s="29"/>
      <c r="G45" s="55"/>
      <c r="H45" s="55"/>
      <c r="I45" s="63" t="str">
        <f>IF(INDEX(E:E,ROW(),1)="","",DATE(YEAR(INDEX(E:E,ROW(),1)),MONTH(INDEX(E:E,ROW(),1))+INDEX(Control!$I$5:$I$9,MATCH(INDEX(C:C,ROW(),1),Control!$D$5:$D$9,FALSE),1)+1,DAY(0)))</f>
        <v/>
      </c>
    </row>
    <row r="46" spans="2:9" ht="20.100000000000001" customHeight="1" x14ac:dyDescent="0.2">
      <c r="B46" s="4"/>
      <c r="C46" s="4"/>
      <c r="D46" s="35"/>
      <c r="E46" s="29"/>
      <c r="F46" s="29"/>
      <c r="G46" s="55"/>
      <c r="H46" s="55"/>
      <c r="I46" s="63" t="str">
        <f>IF(INDEX(E:E,ROW(),1)="","",DATE(YEAR(INDEX(E:E,ROW(),1)),MONTH(INDEX(E:E,ROW(),1))+INDEX(Control!$I$5:$I$9,MATCH(INDEX(C:C,ROW(),1),Control!$D$5:$D$9,FALSE),1)+1,DAY(0)))</f>
        <v/>
      </c>
    </row>
    <row r="47" spans="2:9" ht="20.100000000000001" customHeight="1" x14ac:dyDescent="0.2">
      <c r="B47" s="4"/>
      <c r="C47" s="4"/>
      <c r="D47" s="35"/>
      <c r="E47" s="29"/>
      <c r="F47" s="29"/>
      <c r="G47" s="55"/>
      <c r="H47" s="55"/>
      <c r="I47" s="63" t="str">
        <f>IF(INDEX(E:E,ROW(),1)="","",DATE(YEAR(INDEX(E:E,ROW(),1)),MONTH(INDEX(E:E,ROW(),1))+INDEX(Control!$I$5:$I$9,MATCH(INDEX(C:C,ROW(),1),Control!$D$5:$D$9,FALSE),1)+1,DAY(0)))</f>
        <v/>
      </c>
    </row>
    <row r="48" spans="2:9" ht="20.100000000000001" customHeight="1" x14ac:dyDescent="0.2">
      <c r="B48" s="4"/>
      <c r="C48" s="4"/>
      <c r="D48" s="35"/>
      <c r="E48" s="29"/>
      <c r="F48" s="29"/>
      <c r="G48" s="55"/>
      <c r="H48" s="55"/>
      <c r="I48" s="63" t="str">
        <f>IF(INDEX(E:E,ROW(),1)="","",DATE(YEAR(INDEX(E:E,ROW(),1)),MONTH(INDEX(E:E,ROW(),1))+INDEX(Control!$I$5:$I$9,MATCH(INDEX(C:C,ROW(),1),Control!$D$5:$D$9,FALSE),1)+1,DAY(0)))</f>
        <v/>
      </c>
    </row>
    <row r="49" spans="2:9" ht="20.100000000000001" customHeight="1" x14ac:dyDescent="0.2">
      <c r="B49" s="4"/>
      <c r="C49" s="4"/>
      <c r="D49" s="35"/>
      <c r="E49" s="29"/>
      <c r="F49" s="29"/>
      <c r="G49" s="55"/>
      <c r="H49" s="55"/>
      <c r="I49" s="63" t="str">
        <f>IF(INDEX(E:E,ROW(),1)="","",DATE(YEAR(INDEX(E:E,ROW(),1)),MONTH(INDEX(E:E,ROW(),1))+INDEX(Control!$I$5:$I$9,MATCH(INDEX(C:C,ROW(),1),Control!$D$5:$D$9,FALSE),1)+1,DAY(0)))</f>
        <v/>
      </c>
    </row>
    <row r="50" spans="2:9" ht="20.100000000000001" customHeight="1" x14ac:dyDescent="0.2">
      <c r="B50" s="4"/>
      <c r="C50" s="4"/>
      <c r="D50" s="35"/>
      <c r="E50" s="29"/>
      <c r="F50" s="29"/>
      <c r="G50" s="55"/>
      <c r="H50" s="55"/>
      <c r="I50" s="63" t="str">
        <f>IF(INDEX(E:E,ROW(),1)="","",DATE(YEAR(INDEX(E:E,ROW(),1)),MONTH(INDEX(E:E,ROW(),1))+INDEX(Control!$I$5:$I$9,MATCH(INDEX(C:C,ROW(),1),Control!$D$5:$D$9,FALSE),1)+1,DAY(0)))</f>
        <v/>
      </c>
    </row>
    <row r="51" spans="2:9" ht="20.100000000000001" customHeight="1" x14ac:dyDescent="0.2">
      <c r="B51" s="4"/>
      <c r="C51" s="4"/>
      <c r="D51" s="35"/>
      <c r="E51" s="29"/>
      <c r="F51" s="29"/>
      <c r="G51" s="55"/>
      <c r="H51" s="55"/>
      <c r="I51" s="63" t="str">
        <f>IF(INDEX(E:E,ROW(),1)="","",DATE(YEAR(INDEX(E:E,ROW(),1)),MONTH(INDEX(E:E,ROW(),1))+INDEX(Control!$I$5:$I$9,MATCH(INDEX(C:C,ROW(),1),Control!$D$5:$D$9,FALSE),1)+1,DAY(0)))</f>
        <v/>
      </c>
    </row>
    <row r="52" spans="2:9" ht="20.100000000000001" customHeight="1" x14ac:dyDescent="0.2">
      <c r="B52" s="4"/>
      <c r="C52" s="4"/>
      <c r="D52" s="35"/>
      <c r="E52" s="29"/>
      <c r="F52" s="29"/>
      <c r="G52" s="55"/>
      <c r="H52" s="55"/>
      <c r="I52" s="63" t="str">
        <f>IF(INDEX(E:E,ROW(),1)="","",DATE(YEAR(INDEX(E:E,ROW(),1)),MONTH(INDEX(E:E,ROW(),1))+INDEX(Control!$I$5:$I$9,MATCH(INDEX(C:C,ROW(),1),Control!$D$5:$D$9,FALSE),1)+1,DAY(0)))</f>
        <v/>
      </c>
    </row>
    <row r="53" spans="2:9" ht="20.100000000000001" customHeight="1" x14ac:dyDescent="0.2">
      <c r="B53" s="96"/>
      <c r="C53" s="96"/>
      <c r="D53" s="37"/>
      <c r="E53" s="33"/>
      <c r="F53" s="33"/>
      <c r="G53" s="56"/>
      <c r="H53" s="56"/>
      <c r="I53" s="64" t="str">
        <f>IF(INDEX(E:E,ROW(),1)="","",DATE(YEAR(INDEX(E:E,ROW(),1)),MONTH(INDEX(E:E,ROW(),1))+INDEX(Control!$I$5:$I$9,MATCH(INDEX(C:C,ROW(),1),Control!$D$5:$D$9,FALSE),1)+1,DAY(0)))</f>
        <v/>
      </c>
    </row>
  </sheetData>
  <autoFilter ref="B4:I53">
    <sortState ref="B5:I54">
      <sortCondition ref="E5"/>
    </sortState>
  </autoFilter>
  <sortState ref="B5:J56">
    <sortCondition descending="1" ref="J5:J56"/>
  </sortState>
  <dataValidations count="2">
    <dataValidation type="list" allowBlank="1" showInputMessage="1" showErrorMessage="1" sqref="B5:B53">
      <formula1>ControlSites</formula1>
    </dataValidation>
    <dataValidation type="list" allowBlank="1" showInputMessage="1" showErrorMessage="1" sqref="C5:C53">
      <formula1>ControlShovelMakes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P1192"/>
  <sheetViews>
    <sheetView showGridLines="0" zoomScaleNormal="100" workbookViewId="0">
      <pane ySplit="4" topLeftCell="A72" activePane="bottomLeft" state="frozen"/>
      <selection pane="bottomLeft" activeCell="I84" sqref="I84"/>
    </sheetView>
  </sheetViews>
  <sheetFormatPr defaultRowHeight="20.100000000000001" customHeight="1" x14ac:dyDescent="0.2"/>
  <cols>
    <col min="1" max="1" width="6.42578125" style="1" customWidth="1"/>
    <col min="2" max="3" width="13.7109375" style="2" customWidth="1"/>
    <col min="4" max="7" width="13.7109375" style="30" customWidth="1"/>
    <col min="8" max="8" width="11.7109375" style="39" customWidth="1"/>
    <col min="9" max="9" width="11.140625" style="30" customWidth="1"/>
    <col min="10" max="10" width="9.28515625" style="1" customWidth="1"/>
    <col min="11" max="16384" width="9.140625" style="1"/>
  </cols>
  <sheetData>
    <row r="1" spans="2:14" ht="29.25" customHeight="1" x14ac:dyDescent="0.2"/>
    <row r="2" spans="2:14" ht="29.25" customHeight="1" thickBot="1" x14ac:dyDescent="0.25">
      <c r="B2" s="67" t="s">
        <v>36</v>
      </c>
      <c r="C2" s="66"/>
      <c r="D2" s="68"/>
      <c r="E2" s="68"/>
      <c r="F2" s="68"/>
      <c r="G2" s="68"/>
      <c r="H2" s="69"/>
      <c r="I2" s="68"/>
      <c r="J2" s="137"/>
      <c r="K2" s="137"/>
      <c r="L2" s="137"/>
    </row>
    <row r="3" spans="2:14" ht="6" customHeight="1" x14ac:dyDescent="0.2">
      <c r="E3" s="42"/>
      <c r="F3" s="42"/>
      <c r="G3" s="42"/>
      <c r="H3" s="43"/>
      <c r="I3" s="42"/>
    </row>
    <row r="4" spans="2:14" s="38" customFormat="1" ht="66" customHeight="1" x14ac:dyDescent="0.2">
      <c r="B4" s="76" t="s">
        <v>0</v>
      </c>
      <c r="C4" s="76" t="s">
        <v>9</v>
      </c>
      <c r="D4" s="76" t="s">
        <v>41</v>
      </c>
      <c r="E4" s="76" t="s">
        <v>44</v>
      </c>
      <c r="F4" s="76" t="s">
        <v>42</v>
      </c>
      <c r="G4" s="76" t="s">
        <v>43</v>
      </c>
      <c r="H4" s="80" t="s">
        <v>82</v>
      </c>
      <c r="I4" s="76" t="s">
        <v>77</v>
      </c>
      <c r="J4" s="138" t="s">
        <v>86</v>
      </c>
      <c r="K4" s="138" t="s">
        <v>87</v>
      </c>
      <c r="L4" s="139" t="s">
        <v>88</v>
      </c>
    </row>
    <row r="5" spans="2:14" s="117" customFormat="1" ht="20.100000000000001" customHeight="1" x14ac:dyDescent="0.2">
      <c r="B5" s="140">
        <v>41670</v>
      </c>
      <c r="C5" s="141" t="s">
        <v>52</v>
      </c>
      <c r="D5" s="142">
        <v>53206</v>
      </c>
      <c r="E5" s="142">
        <v>4616</v>
      </c>
      <c r="F5" s="155">
        <v>4026</v>
      </c>
      <c r="G5" s="155">
        <v>700</v>
      </c>
      <c r="H5" s="156">
        <f t="shared" ref="H5:H68" si="0">IFERROR(G5/F5,"")</f>
        <v>0.17386984600099353</v>
      </c>
      <c r="I5" s="155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4.6597222222222223</v>
      </c>
      <c r="J5" s="162"/>
      <c r="K5" s="162"/>
      <c r="L5" s="163" t="str">
        <f t="shared" ref="L5:L68" si="1">IFERROR(K5/J5,"")</f>
        <v/>
      </c>
      <c r="M5" s="157"/>
    </row>
    <row r="6" spans="2:14" s="117" customFormat="1" ht="20.100000000000001" customHeight="1" x14ac:dyDescent="0.2">
      <c r="B6" s="151">
        <v>41670</v>
      </c>
      <c r="C6" s="152" t="s">
        <v>54</v>
      </c>
      <c r="D6" s="146">
        <v>80517</v>
      </c>
      <c r="E6" s="146">
        <v>6586</v>
      </c>
      <c r="F6" s="153">
        <v>6235</v>
      </c>
      <c r="G6" s="153">
        <v>519</v>
      </c>
      <c r="H6" s="154">
        <f t="shared" si="0"/>
        <v>8.3239775461106655E-2</v>
      </c>
      <c r="I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25.674658129950767</v>
      </c>
      <c r="J6" s="165"/>
      <c r="K6" s="165"/>
      <c r="L6" s="163" t="str">
        <f t="shared" si="1"/>
        <v/>
      </c>
      <c r="M6" s="157"/>
      <c r="N6" s="157"/>
    </row>
    <row r="7" spans="2:14" s="117" customFormat="1" ht="20.100000000000001" customHeight="1" x14ac:dyDescent="0.2">
      <c r="B7" s="151">
        <v>41670</v>
      </c>
      <c r="C7" s="152" t="s">
        <v>55</v>
      </c>
      <c r="D7" s="146">
        <v>66929</v>
      </c>
      <c r="E7" s="146">
        <v>3768</v>
      </c>
      <c r="F7" s="153">
        <v>3288</v>
      </c>
      <c r="G7" s="153">
        <v>295</v>
      </c>
      <c r="H7" s="154">
        <f t="shared" si="0"/>
        <v>8.9720194647201948E-2</v>
      </c>
      <c r="I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28.154661016949156</v>
      </c>
      <c r="J7" s="165"/>
      <c r="K7" s="165"/>
      <c r="L7" s="163" t="str">
        <f t="shared" si="1"/>
        <v/>
      </c>
      <c r="M7" s="157"/>
    </row>
    <row r="8" spans="2:14" s="117" customFormat="1" ht="20.100000000000001" customHeight="1" x14ac:dyDescent="0.2">
      <c r="B8" s="151">
        <v>41670</v>
      </c>
      <c r="C8" s="152" t="s">
        <v>56</v>
      </c>
      <c r="D8" s="146">
        <v>65948</v>
      </c>
      <c r="E8" s="146">
        <v>3881</v>
      </c>
      <c r="F8" s="153"/>
      <c r="G8" s="153"/>
      <c r="H8" s="154" t="str">
        <f t="shared" si="0"/>
        <v/>
      </c>
      <c r="I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8" s="165"/>
      <c r="K8" s="165"/>
      <c r="L8" s="163" t="str">
        <f t="shared" si="1"/>
        <v/>
      </c>
      <c r="M8" s="157"/>
    </row>
    <row r="9" spans="2:14" s="117" customFormat="1" ht="20.100000000000001" customHeight="1" x14ac:dyDescent="0.2">
      <c r="B9" s="151">
        <v>41670</v>
      </c>
      <c r="C9" s="152" t="s">
        <v>57</v>
      </c>
      <c r="D9" s="146">
        <v>63015</v>
      </c>
      <c r="E9" s="146">
        <v>5265</v>
      </c>
      <c r="F9" s="153">
        <v>8566</v>
      </c>
      <c r="G9" s="153">
        <v>772</v>
      </c>
      <c r="H9" s="154">
        <f t="shared" si="0"/>
        <v>9.0123745038524397E-2</v>
      </c>
      <c r="I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18.839837003454235</v>
      </c>
      <c r="J9" s="165"/>
      <c r="K9" s="165"/>
      <c r="L9" s="166" t="str">
        <f t="shared" si="1"/>
        <v/>
      </c>
    </row>
    <row r="10" spans="2:14" s="117" customFormat="1" ht="20.100000000000001" customHeight="1" x14ac:dyDescent="0.2">
      <c r="B10" s="151">
        <v>41670</v>
      </c>
      <c r="C10" s="152" t="s">
        <v>58</v>
      </c>
      <c r="D10" s="146">
        <v>51031</v>
      </c>
      <c r="E10" s="146">
        <v>3823</v>
      </c>
      <c r="F10" s="153">
        <v>538</v>
      </c>
      <c r="G10" s="153">
        <v>63</v>
      </c>
      <c r="H10" s="154">
        <f t="shared" si="0"/>
        <v>0.1171003717472119</v>
      </c>
      <c r="I1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25.01118827160494</v>
      </c>
      <c r="J10" s="165"/>
      <c r="K10" s="165"/>
      <c r="L10" s="166" t="str">
        <f t="shared" si="1"/>
        <v/>
      </c>
    </row>
    <row r="11" spans="2:14" s="117" customFormat="1" ht="20.100000000000001" customHeight="1" x14ac:dyDescent="0.2">
      <c r="B11" s="151">
        <v>41670</v>
      </c>
      <c r="C11" s="152" t="s">
        <v>59</v>
      </c>
      <c r="D11" s="146">
        <v>40416</v>
      </c>
      <c r="E11" s="146">
        <v>2279</v>
      </c>
      <c r="F11" s="153">
        <v>14474</v>
      </c>
      <c r="G11" s="153">
        <v>916</v>
      </c>
      <c r="H11" s="154">
        <f t="shared" si="0"/>
        <v>6.3285891944175762E-2</v>
      </c>
      <c r="I1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22.878980167394474</v>
      </c>
      <c r="J11" s="165"/>
      <c r="K11" s="165"/>
      <c r="L11" s="166" t="str">
        <f t="shared" si="1"/>
        <v/>
      </c>
    </row>
    <row r="12" spans="2:14" s="117" customFormat="1" ht="20.100000000000001" customHeight="1" x14ac:dyDescent="0.2">
      <c r="B12" s="151">
        <v>41670</v>
      </c>
      <c r="C12" s="152" t="s">
        <v>60</v>
      </c>
      <c r="D12" s="146">
        <v>33074</v>
      </c>
      <c r="E12" s="146">
        <v>865</v>
      </c>
      <c r="F12" s="153">
        <v>9029</v>
      </c>
      <c r="G12" s="153">
        <v>357</v>
      </c>
      <c r="H12" s="154">
        <f t="shared" si="0"/>
        <v>3.9539262376785914E-2</v>
      </c>
      <c r="I1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61.164590141612209</v>
      </c>
      <c r="J12" s="165"/>
      <c r="K12" s="165"/>
      <c r="L12" s="166" t="str">
        <f t="shared" si="1"/>
        <v/>
      </c>
    </row>
    <row r="13" spans="2:14" s="117" customFormat="1" ht="20.100000000000001" customHeight="1" x14ac:dyDescent="0.2">
      <c r="B13" s="144">
        <v>41698</v>
      </c>
      <c r="C13" s="145" t="s">
        <v>52</v>
      </c>
      <c r="D13" s="146">
        <v>53854</v>
      </c>
      <c r="E13" s="146">
        <v>4723</v>
      </c>
      <c r="F13" s="153">
        <v>4674</v>
      </c>
      <c r="G13" s="153">
        <v>807</v>
      </c>
      <c r="H13" s="154">
        <f t="shared" si="0"/>
        <v>0.17265725288831835</v>
      </c>
      <c r="I1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3.2578996282527881</v>
      </c>
      <c r="J13" s="164">
        <v>648</v>
      </c>
      <c r="K13" s="164">
        <v>107</v>
      </c>
      <c r="L13" s="166">
        <f t="shared" si="1"/>
        <v>0.16512345679012347</v>
      </c>
    </row>
    <row r="14" spans="2:14" s="117" customFormat="1" ht="20.100000000000001" customHeight="1" x14ac:dyDescent="0.2">
      <c r="B14" s="151">
        <v>41698</v>
      </c>
      <c r="C14" s="152" t="s">
        <v>54</v>
      </c>
      <c r="D14" s="146">
        <v>80911</v>
      </c>
      <c r="E14" s="146">
        <v>6617</v>
      </c>
      <c r="F14" s="153">
        <v>6629</v>
      </c>
      <c r="G14" s="153">
        <v>550</v>
      </c>
      <c r="H14" s="154">
        <f t="shared" si="0"/>
        <v>8.2968773570674309E-2</v>
      </c>
      <c r="I1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25.109848484848488</v>
      </c>
      <c r="J14" s="165">
        <v>394</v>
      </c>
      <c r="K14" s="165">
        <v>31</v>
      </c>
      <c r="L14" s="166">
        <f t="shared" si="1"/>
        <v>7.8680203045685279E-2</v>
      </c>
    </row>
    <row r="15" spans="2:14" s="117" customFormat="1" ht="20.100000000000001" customHeight="1" x14ac:dyDescent="0.2">
      <c r="B15" s="151">
        <v>41698</v>
      </c>
      <c r="C15" s="152" t="s">
        <v>55</v>
      </c>
      <c r="D15" s="146">
        <v>67449</v>
      </c>
      <c r="E15" s="146">
        <v>3842</v>
      </c>
      <c r="F15" s="153">
        <v>3808</v>
      </c>
      <c r="G15" s="153">
        <v>369</v>
      </c>
      <c r="H15" s="154">
        <f t="shared" si="0"/>
        <v>9.6901260504201683E-2</v>
      </c>
      <c r="I1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24.742396868413131</v>
      </c>
      <c r="J15" s="165">
        <v>520</v>
      </c>
      <c r="K15" s="165">
        <v>74</v>
      </c>
      <c r="L15" s="166">
        <f t="shared" si="1"/>
        <v>0.1423076923076923</v>
      </c>
    </row>
    <row r="16" spans="2:14" s="117" customFormat="1" ht="20.100000000000001" customHeight="1" x14ac:dyDescent="0.2">
      <c r="B16" s="151">
        <v>41698</v>
      </c>
      <c r="C16" s="152" t="s">
        <v>56</v>
      </c>
      <c r="D16" s="146">
        <v>66411</v>
      </c>
      <c r="E16" s="146">
        <v>3917</v>
      </c>
      <c r="F16" s="153"/>
      <c r="G16" s="153"/>
      <c r="H16" s="154" t="str">
        <f t="shared" si="0"/>
        <v/>
      </c>
      <c r="I1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" s="165">
        <v>463</v>
      </c>
      <c r="K16" s="165">
        <v>36</v>
      </c>
      <c r="L16" s="166">
        <f t="shared" si="1"/>
        <v>7.775377969762419E-2</v>
      </c>
    </row>
    <row r="17" spans="2:14" s="117" customFormat="1" ht="20.100000000000001" customHeight="1" x14ac:dyDescent="0.2">
      <c r="B17" s="151">
        <v>41698</v>
      </c>
      <c r="C17" s="152" t="s">
        <v>57</v>
      </c>
      <c r="D17" s="146">
        <v>63528</v>
      </c>
      <c r="E17" s="146">
        <v>5307</v>
      </c>
      <c r="F17" s="153">
        <v>9079</v>
      </c>
      <c r="G17" s="153">
        <v>814</v>
      </c>
      <c r="H17" s="154">
        <f t="shared" si="0"/>
        <v>8.9657451261152113E-2</v>
      </c>
      <c r="I1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18.124539312039314</v>
      </c>
      <c r="J17" s="165">
        <v>513</v>
      </c>
      <c r="K17" s="165">
        <v>42</v>
      </c>
      <c r="L17" s="166">
        <f t="shared" si="1"/>
        <v>8.1871345029239762E-2</v>
      </c>
    </row>
    <row r="18" spans="2:14" s="117" customFormat="1" ht="20.100000000000001" customHeight="1" x14ac:dyDescent="0.2">
      <c r="B18" s="151">
        <v>41698</v>
      </c>
      <c r="C18" s="152" t="s">
        <v>58</v>
      </c>
      <c r="D18" s="146">
        <v>51591</v>
      </c>
      <c r="E18" s="146">
        <v>3889</v>
      </c>
      <c r="F18" s="153">
        <v>1098</v>
      </c>
      <c r="G18" s="153">
        <v>129</v>
      </c>
      <c r="H18" s="154">
        <f t="shared" si="0"/>
        <v>0.11748633879781421</v>
      </c>
      <c r="I1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23.953730620155042</v>
      </c>
      <c r="J18" s="165">
        <v>560</v>
      </c>
      <c r="K18" s="165">
        <v>66</v>
      </c>
      <c r="L18" s="166">
        <f t="shared" si="1"/>
        <v>0.11785714285714285</v>
      </c>
    </row>
    <row r="19" spans="2:14" s="117" customFormat="1" ht="20.100000000000001" customHeight="1" x14ac:dyDescent="0.2">
      <c r="B19" s="151">
        <v>41698</v>
      </c>
      <c r="C19" s="152" t="s">
        <v>59</v>
      </c>
      <c r="D19" s="146">
        <v>41082</v>
      </c>
      <c r="E19" s="146">
        <v>2332</v>
      </c>
      <c r="F19" s="153">
        <v>15140</v>
      </c>
      <c r="G19" s="153">
        <v>969</v>
      </c>
      <c r="H19" s="154">
        <f t="shared" si="0"/>
        <v>6.4002642007926019E-2</v>
      </c>
      <c r="I1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21.185106352482524</v>
      </c>
      <c r="J19" s="165">
        <v>666</v>
      </c>
      <c r="K19" s="165">
        <v>53</v>
      </c>
      <c r="L19" s="166">
        <f t="shared" si="1"/>
        <v>7.9579579579579576E-2</v>
      </c>
    </row>
    <row r="20" spans="2:14" s="117" customFormat="1" ht="20.100000000000001" customHeight="1" x14ac:dyDescent="0.2">
      <c r="B20" s="151">
        <v>41698</v>
      </c>
      <c r="C20" s="152" t="s">
        <v>60</v>
      </c>
      <c r="D20" s="146">
        <v>33322</v>
      </c>
      <c r="E20" s="146">
        <v>898</v>
      </c>
      <c r="F20" s="153">
        <v>9277</v>
      </c>
      <c r="G20" s="153">
        <v>390</v>
      </c>
      <c r="H20" s="154">
        <f t="shared" si="0"/>
        <v>4.2039452409184004E-2</v>
      </c>
      <c r="I2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56.164173789173802</v>
      </c>
      <c r="J20" s="165">
        <v>248</v>
      </c>
      <c r="K20" s="165">
        <v>33</v>
      </c>
      <c r="L20" s="166">
        <f t="shared" si="1"/>
        <v>0.13306451612903225</v>
      </c>
    </row>
    <row r="21" spans="2:14" s="117" customFormat="1" ht="20.100000000000001" customHeight="1" x14ac:dyDescent="0.2">
      <c r="B21" s="144">
        <v>41713</v>
      </c>
      <c r="C21" s="145" t="s">
        <v>52</v>
      </c>
      <c r="D21" s="146">
        <v>54402</v>
      </c>
      <c r="E21" s="146">
        <v>4790</v>
      </c>
      <c r="F21" s="153">
        <v>5222</v>
      </c>
      <c r="G21" s="153">
        <v>874</v>
      </c>
      <c r="H21" s="154">
        <f t="shared" si="0"/>
        <v>0.16736882420528534</v>
      </c>
      <c r="I2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2.4341893380794986</v>
      </c>
      <c r="J21" s="164">
        <v>1196</v>
      </c>
      <c r="K21" s="164">
        <v>174</v>
      </c>
      <c r="L21" s="166">
        <f t="shared" si="1"/>
        <v>0.14548494983277591</v>
      </c>
    </row>
    <row r="22" spans="2:14" s="117" customFormat="1" ht="20.100000000000001" customHeight="1" x14ac:dyDescent="0.2">
      <c r="B22" s="144">
        <v>41729</v>
      </c>
      <c r="C22" s="145" t="s">
        <v>52</v>
      </c>
      <c r="D22" s="146">
        <v>54438</v>
      </c>
      <c r="E22" s="146">
        <v>4797</v>
      </c>
      <c r="F22" s="153">
        <v>5258</v>
      </c>
      <c r="G22" s="153">
        <v>881</v>
      </c>
      <c r="H22" s="154">
        <f t="shared" si="0"/>
        <v>0.16755420311905667</v>
      </c>
      <c r="I2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2.3347889603564975</v>
      </c>
      <c r="J22" s="164">
        <v>584</v>
      </c>
      <c r="K22" s="164">
        <v>74</v>
      </c>
      <c r="L22" s="166">
        <f t="shared" si="1"/>
        <v>0.12671232876712329</v>
      </c>
    </row>
    <row r="23" spans="2:14" s="117" customFormat="1" ht="20.100000000000001" customHeight="1" x14ac:dyDescent="0.2">
      <c r="B23" s="151">
        <v>41729</v>
      </c>
      <c r="C23" s="152" t="s">
        <v>54</v>
      </c>
      <c r="D23" s="146">
        <v>81030</v>
      </c>
      <c r="E23" s="146">
        <v>6630</v>
      </c>
      <c r="F23" s="153">
        <v>6748</v>
      </c>
      <c r="G23" s="153">
        <v>563</v>
      </c>
      <c r="H23" s="154">
        <f t="shared" si="0"/>
        <v>8.3432128037937162E-2</v>
      </c>
      <c r="I2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24.699884053680684</v>
      </c>
      <c r="J23" s="165">
        <v>119</v>
      </c>
      <c r="K23" s="165">
        <v>13</v>
      </c>
      <c r="L23" s="166">
        <f t="shared" si="1"/>
        <v>0.1092436974789916</v>
      </c>
    </row>
    <row r="24" spans="2:14" s="117" customFormat="1" ht="20.100000000000001" customHeight="1" x14ac:dyDescent="0.2">
      <c r="B24" s="151">
        <v>41729</v>
      </c>
      <c r="C24" s="152" t="s">
        <v>55</v>
      </c>
      <c r="D24" s="146">
        <v>68096</v>
      </c>
      <c r="E24" s="146">
        <v>3805</v>
      </c>
      <c r="F24" s="153">
        <v>4455</v>
      </c>
      <c r="G24" s="153">
        <v>332</v>
      </c>
      <c r="H24" s="154">
        <f t="shared" si="0"/>
        <v>7.4523007856341195E-2</v>
      </c>
      <c r="I2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33.034167921686745</v>
      </c>
      <c r="J24" s="165">
        <v>647</v>
      </c>
      <c r="K24" s="165">
        <v>-37</v>
      </c>
      <c r="L24" s="166">
        <f t="shared" si="1"/>
        <v>-5.7187017001545597E-2</v>
      </c>
      <c r="M24" s="157"/>
      <c r="N24" s="157"/>
    </row>
    <row r="25" spans="2:14" s="117" customFormat="1" ht="20.100000000000001" customHeight="1" x14ac:dyDescent="0.2">
      <c r="B25" s="151">
        <v>41729</v>
      </c>
      <c r="C25" s="152" t="s">
        <v>56</v>
      </c>
      <c r="D25" s="146">
        <v>66776</v>
      </c>
      <c r="E25" s="146">
        <v>3664</v>
      </c>
      <c r="F25" s="153">
        <v>365</v>
      </c>
      <c r="G25" s="153">
        <v>35</v>
      </c>
      <c r="H25" s="154">
        <f t="shared" si="0"/>
        <v>9.5890410958904104E-2</v>
      </c>
      <c r="I2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31.050347222222225</v>
      </c>
      <c r="J25" s="165">
        <v>365</v>
      </c>
      <c r="K25" s="165">
        <v>-253</v>
      </c>
      <c r="L25" s="166">
        <f t="shared" si="1"/>
        <v>-0.69315068493150689</v>
      </c>
    </row>
    <row r="26" spans="2:14" s="117" customFormat="1" ht="20.100000000000001" customHeight="1" x14ac:dyDescent="0.2">
      <c r="B26" s="151">
        <v>41729</v>
      </c>
      <c r="C26" s="152" t="s">
        <v>57</v>
      </c>
      <c r="D26" s="146">
        <v>64158</v>
      </c>
      <c r="E26" s="146">
        <v>5265</v>
      </c>
      <c r="F26" s="153">
        <v>9709</v>
      </c>
      <c r="G26" s="153">
        <v>772</v>
      </c>
      <c r="H26" s="154">
        <f t="shared" si="0"/>
        <v>7.9513853125965595E-2</v>
      </c>
      <c r="I2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21.353721394645945</v>
      </c>
      <c r="J26" s="165">
        <v>630</v>
      </c>
      <c r="K26" s="165">
        <v>-42</v>
      </c>
      <c r="L26" s="166">
        <f t="shared" si="1"/>
        <v>-6.6666666666666666E-2</v>
      </c>
    </row>
    <row r="27" spans="2:14" s="117" customFormat="1" ht="20.100000000000001" customHeight="1" x14ac:dyDescent="0.2">
      <c r="B27" s="151">
        <v>41729</v>
      </c>
      <c r="C27" s="152" t="s">
        <v>58</v>
      </c>
      <c r="D27" s="146">
        <v>52137</v>
      </c>
      <c r="E27" s="146">
        <v>3940</v>
      </c>
      <c r="F27" s="153">
        <v>1644</v>
      </c>
      <c r="G27" s="153">
        <v>180</v>
      </c>
      <c r="H27" s="154">
        <f t="shared" si="0"/>
        <v>0.10948905109489052</v>
      </c>
      <c r="I2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24.894675925925927</v>
      </c>
      <c r="J27" s="165">
        <v>546</v>
      </c>
      <c r="K27" s="165">
        <v>51</v>
      </c>
      <c r="L27" s="166">
        <f t="shared" si="1"/>
        <v>9.3406593406593408E-2</v>
      </c>
    </row>
    <row r="28" spans="2:14" s="117" customFormat="1" ht="20.100000000000001" customHeight="1" x14ac:dyDescent="0.2">
      <c r="B28" s="151">
        <v>41729</v>
      </c>
      <c r="C28" s="152" t="s">
        <v>59</v>
      </c>
      <c r="D28" s="146">
        <v>41691</v>
      </c>
      <c r="E28" s="146">
        <v>2384</v>
      </c>
      <c r="F28" s="153">
        <v>15749</v>
      </c>
      <c r="G28" s="153">
        <v>1021</v>
      </c>
      <c r="H28" s="154">
        <f t="shared" si="0"/>
        <v>6.4829512984951432E-2</v>
      </c>
      <c r="I2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19.522358594515186</v>
      </c>
      <c r="J28" s="165">
        <v>609</v>
      </c>
      <c r="K28" s="165">
        <v>52</v>
      </c>
      <c r="L28" s="166">
        <f t="shared" si="1"/>
        <v>8.5385878489326772E-2</v>
      </c>
    </row>
    <row r="29" spans="2:14" s="117" customFormat="1" ht="20.100000000000001" customHeight="1" x14ac:dyDescent="0.2">
      <c r="B29" s="151">
        <v>41729</v>
      </c>
      <c r="C29" s="152" t="s">
        <v>60</v>
      </c>
      <c r="D29" s="146">
        <v>33868</v>
      </c>
      <c r="E29" s="146">
        <v>931</v>
      </c>
      <c r="F29" s="153">
        <v>9823</v>
      </c>
      <c r="G29" s="153">
        <v>423</v>
      </c>
      <c r="H29" s="154">
        <f t="shared" si="0"/>
        <v>4.3062200956937802E-2</v>
      </c>
      <c r="I2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53.499807098765437</v>
      </c>
      <c r="J29" s="165">
        <v>546</v>
      </c>
      <c r="K29" s="165">
        <v>33</v>
      </c>
      <c r="L29" s="166">
        <f t="shared" si="1"/>
        <v>6.043956043956044E-2</v>
      </c>
    </row>
    <row r="30" spans="2:14" s="117" customFormat="1" ht="20.100000000000001" customHeight="1" x14ac:dyDescent="0.2">
      <c r="B30" s="144">
        <v>41759</v>
      </c>
      <c r="C30" s="145" t="s">
        <v>52</v>
      </c>
      <c r="D30" s="146">
        <v>54598</v>
      </c>
      <c r="E30" s="146">
        <v>4821</v>
      </c>
      <c r="F30" s="153">
        <v>5418</v>
      </c>
      <c r="G30" s="153">
        <v>905</v>
      </c>
      <c r="H30" s="154">
        <f t="shared" si="0"/>
        <v>0.16703580657069028</v>
      </c>
      <c r="I3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2.0094383057090242</v>
      </c>
      <c r="J30" s="164">
        <v>160</v>
      </c>
      <c r="K30" s="164">
        <v>24</v>
      </c>
      <c r="L30" s="166">
        <f t="shared" si="1"/>
        <v>0.15</v>
      </c>
    </row>
    <row r="31" spans="2:14" s="117" customFormat="1" ht="20.100000000000001" customHeight="1" x14ac:dyDescent="0.2">
      <c r="B31" s="151">
        <v>41759</v>
      </c>
      <c r="C31" s="152" t="s">
        <v>54</v>
      </c>
      <c r="D31" s="146">
        <v>81666</v>
      </c>
      <c r="E31" s="146">
        <v>6690</v>
      </c>
      <c r="F31" s="153">
        <v>7384</v>
      </c>
      <c r="G31" s="153">
        <v>623</v>
      </c>
      <c r="H31" s="154">
        <f t="shared" si="0"/>
        <v>8.4371614301191764E-2</v>
      </c>
      <c r="I3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23.190230961298379</v>
      </c>
      <c r="J31" s="165">
        <v>636</v>
      </c>
      <c r="K31" s="165">
        <v>60</v>
      </c>
      <c r="L31" s="166">
        <f t="shared" si="1"/>
        <v>9.4339622641509441E-2</v>
      </c>
    </row>
    <row r="32" spans="2:14" s="117" customFormat="1" ht="20.100000000000001" customHeight="1" x14ac:dyDescent="0.2">
      <c r="B32" s="151">
        <v>41759</v>
      </c>
      <c r="C32" s="152" t="s">
        <v>55</v>
      </c>
      <c r="D32" s="146">
        <v>68726</v>
      </c>
      <c r="E32" s="146">
        <v>3870</v>
      </c>
      <c r="F32" s="153">
        <v>5085</v>
      </c>
      <c r="G32" s="153">
        <v>397</v>
      </c>
      <c r="H32" s="154">
        <f t="shared" si="0"/>
        <v>7.8072763028515235E-2</v>
      </c>
      <c r="I3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30.086783690176329</v>
      </c>
      <c r="J32" s="165">
        <v>630</v>
      </c>
      <c r="K32" s="165">
        <v>65</v>
      </c>
      <c r="L32" s="166">
        <f t="shared" si="1"/>
        <v>0.10317460317460317</v>
      </c>
    </row>
    <row r="33" spans="2:12" s="117" customFormat="1" ht="20.100000000000001" customHeight="1" x14ac:dyDescent="0.2">
      <c r="B33" s="151">
        <v>41759</v>
      </c>
      <c r="C33" s="152" t="s">
        <v>56</v>
      </c>
      <c r="D33" s="146">
        <v>67379</v>
      </c>
      <c r="E33" s="146">
        <v>3704</v>
      </c>
      <c r="F33" s="153">
        <v>968</v>
      </c>
      <c r="G33" s="153">
        <v>75</v>
      </c>
      <c r="H33" s="154">
        <f t="shared" si="0"/>
        <v>7.7479338842975212E-2</v>
      </c>
      <c r="I3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37.532407407407412</v>
      </c>
      <c r="J33" s="165">
        <v>603</v>
      </c>
      <c r="K33" s="165">
        <v>40</v>
      </c>
      <c r="L33" s="166">
        <f t="shared" si="1"/>
        <v>6.633499170812604E-2</v>
      </c>
    </row>
    <row r="34" spans="2:12" s="117" customFormat="1" ht="20.100000000000001" customHeight="1" x14ac:dyDescent="0.2">
      <c r="B34" s="151">
        <v>41759</v>
      </c>
      <c r="C34" s="152" t="s">
        <v>57</v>
      </c>
      <c r="D34" s="146">
        <v>64778</v>
      </c>
      <c r="E34" s="146">
        <v>5315</v>
      </c>
      <c r="F34" s="153">
        <v>10329</v>
      </c>
      <c r="G34" s="153">
        <v>822</v>
      </c>
      <c r="H34" s="154">
        <f t="shared" si="0"/>
        <v>7.9581760092942197E-2</v>
      </c>
      <c r="I3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20.244728304947291</v>
      </c>
      <c r="J34" s="165">
        <v>620</v>
      </c>
      <c r="K34" s="165">
        <v>50</v>
      </c>
      <c r="L34" s="166">
        <f t="shared" si="1"/>
        <v>8.0645161290322578E-2</v>
      </c>
    </row>
    <row r="35" spans="2:12" s="117" customFormat="1" ht="20.100000000000001" customHeight="1" x14ac:dyDescent="0.2">
      <c r="B35" s="151">
        <v>41759</v>
      </c>
      <c r="C35" s="152" t="s">
        <v>58</v>
      </c>
      <c r="D35" s="146">
        <v>52775</v>
      </c>
      <c r="E35" s="146">
        <v>3999</v>
      </c>
      <c r="F35" s="153">
        <v>2282</v>
      </c>
      <c r="G35" s="153">
        <v>239</v>
      </c>
      <c r="H35" s="154">
        <f t="shared" si="0"/>
        <v>0.10473269062226118</v>
      </c>
      <c r="I3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25.047230939098096</v>
      </c>
      <c r="J35" s="165">
        <v>638</v>
      </c>
      <c r="K35" s="165">
        <v>59</v>
      </c>
      <c r="L35" s="166">
        <f t="shared" si="1"/>
        <v>9.2476489028213163E-2</v>
      </c>
    </row>
    <row r="36" spans="2:12" s="117" customFormat="1" ht="20.100000000000001" customHeight="1" x14ac:dyDescent="0.2">
      <c r="B36" s="151">
        <v>41759</v>
      </c>
      <c r="C36" s="152" t="s">
        <v>59</v>
      </c>
      <c r="D36" s="146">
        <v>42229</v>
      </c>
      <c r="E36" s="146">
        <v>2420</v>
      </c>
      <c r="F36" s="153">
        <v>16287</v>
      </c>
      <c r="G36" s="153">
        <v>1057</v>
      </c>
      <c r="H36" s="154">
        <f t="shared" si="0"/>
        <v>6.4898385215202303E-2</v>
      </c>
      <c r="I3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18.538596854304643</v>
      </c>
      <c r="J36" s="165">
        <v>538</v>
      </c>
      <c r="K36" s="165">
        <v>36</v>
      </c>
      <c r="L36" s="166">
        <f t="shared" si="1"/>
        <v>6.6914498141263934E-2</v>
      </c>
    </row>
    <row r="37" spans="2:12" s="117" customFormat="1" ht="20.100000000000001" customHeight="1" x14ac:dyDescent="0.2">
      <c r="B37" s="151">
        <v>41759</v>
      </c>
      <c r="C37" s="152" t="s">
        <v>60</v>
      </c>
      <c r="D37" s="146">
        <v>34379</v>
      </c>
      <c r="E37" s="146">
        <v>979</v>
      </c>
      <c r="F37" s="153">
        <v>10334</v>
      </c>
      <c r="G37" s="153">
        <v>471</v>
      </c>
      <c r="H37" s="154">
        <f t="shared" si="0"/>
        <v>4.5577704664215214E-2</v>
      </c>
      <c r="I3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48.718691023826374</v>
      </c>
      <c r="J37" s="165">
        <v>511</v>
      </c>
      <c r="K37" s="165">
        <v>48</v>
      </c>
      <c r="L37" s="166">
        <f t="shared" si="1"/>
        <v>9.393346379647749E-2</v>
      </c>
    </row>
    <row r="38" spans="2:12" s="117" customFormat="1" ht="20.100000000000001" customHeight="1" x14ac:dyDescent="0.2">
      <c r="B38" s="144">
        <v>41790</v>
      </c>
      <c r="C38" s="145" t="s">
        <v>52</v>
      </c>
      <c r="D38" s="146">
        <v>55152</v>
      </c>
      <c r="E38" s="146">
        <v>4898</v>
      </c>
      <c r="F38" s="153">
        <v>5972</v>
      </c>
      <c r="G38" s="153">
        <v>982</v>
      </c>
      <c r="H38" s="154">
        <f t="shared" si="0"/>
        <v>0.16443402545210983</v>
      </c>
      <c r="I3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0.95726785848985452</v>
      </c>
      <c r="J38" s="165">
        <v>554</v>
      </c>
      <c r="K38" s="164">
        <v>77</v>
      </c>
      <c r="L38" s="166">
        <f t="shared" si="1"/>
        <v>0.13898916967509026</v>
      </c>
    </row>
    <row r="39" spans="2:12" s="117" customFormat="1" ht="20.100000000000001" customHeight="1" x14ac:dyDescent="0.2">
      <c r="B39" s="151">
        <v>41790</v>
      </c>
      <c r="C39" s="152" t="s">
        <v>54</v>
      </c>
      <c r="D39" s="146">
        <v>82142</v>
      </c>
      <c r="E39" s="146">
        <v>6744</v>
      </c>
      <c r="F39" s="153">
        <v>7860</v>
      </c>
      <c r="G39" s="153">
        <v>677</v>
      </c>
      <c r="H39" s="154">
        <f t="shared" si="0"/>
        <v>8.6132315521628505E-2</v>
      </c>
      <c r="I3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21.627738798621369</v>
      </c>
      <c r="J39" s="165">
        <v>476</v>
      </c>
      <c r="K39" s="165">
        <v>54</v>
      </c>
      <c r="L39" s="166">
        <f t="shared" si="1"/>
        <v>0.1134453781512605</v>
      </c>
    </row>
    <row r="40" spans="2:12" s="117" customFormat="1" ht="20.100000000000001" customHeight="1" x14ac:dyDescent="0.2">
      <c r="B40" s="151">
        <v>41790</v>
      </c>
      <c r="C40" s="152" t="s">
        <v>55</v>
      </c>
      <c r="D40" s="146">
        <v>69236</v>
      </c>
      <c r="E40" s="146">
        <v>3915</v>
      </c>
      <c r="F40" s="153">
        <v>5595</v>
      </c>
      <c r="G40" s="153">
        <v>442</v>
      </c>
      <c r="H40" s="154">
        <f t="shared" si="0"/>
        <v>7.8999106344950845E-2</v>
      </c>
      <c r="I4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28.745050904977379</v>
      </c>
      <c r="J40" s="165">
        <v>510</v>
      </c>
      <c r="K40" s="165">
        <v>45</v>
      </c>
      <c r="L40" s="166">
        <f t="shared" si="1"/>
        <v>8.8235294117647065E-2</v>
      </c>
    </row>
    <row r="41" spans="2:12" s="117" customFormat="1" ht="20.100000000000001" customHeight="1" x14ac:dyDescent="0.2">
      <c r="B41" s="151">
        <v>41790</v>
      </c>
      <c r="C41" s="152" t="s">
        <v>56</v>
      </c>
      <c r="D41" s="146">
        <v>67893</v>
      </c>
      <c r="E41" s="146">
        <v>3753</v>
      </c>
      <c r="F41" s="153">
        <v>1482</v>
      </c>
      <c r="G41" s="153">
        <v>124</v>
      </c>
      <c r="H41" s="154">
        <f t="shared" si="0"/>
        <v>8.3670715249662617E-2</v>
      </c>
      <c r="I4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33.738407258064512</v>
      </c>
      <c r="J41" s="165">
        <v>514</v>
      </c>
      <c r="K41" s="165">
        <v>49</v>
      </c>
      <c r="L41" s="166">
        <f t="shared" si="1"/>
        <v>9.5330739299610889E-2</v>
      </c>
    </row>
    <row r="42" spans="2:12" s="117" customFormat="1" ht="20.100000000000001" customHeight="1" x14ac:dyDescent="0.2">
      <c r="B42" s="151">
        <v>41790</v>
      </c>
      <c r="C42" s="152" t="s">
        <v>57</v>
      </c>
      <c r="D42" s="146">
        <v>65335</v>
      </c>
      <c r="E42" s="146">
        <v>5368</v>
      </c>
      <c r="F42" s="153">
        <v>10886</v>
      </c>
      <c r="G42" s="153">
        <v>875</v>
      </c>
      <c r="H42" s="154">
        <f t="shared" si="0"/>
        <v>8.0378467756751795E-2</v>
      </c>
      <c r="I4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18.899305555555557</v>
      </c>
      <c r="J42" s="165">
        <v>557</v>
      </c>
      <c r="K42" s="165">
        <v>53</v>
      </c>
      <c r="L42" s="166">
        <f t="shared" si="1"/>
        <v>9.515260323159784E-2</v>
      </c>
    </row>
    <row r="43" spans="2:12" s="117" customFormat="1" ht="20.100000000000001" customHeight="1" x14ac:dyDescent="0.2">
      <c r="B43" s="151">
        <v>41790</v>
      </c>
      <c r="C43" s="152" t="s">
        <v>58</v>
      </c>
      <c r="D43" s="146">
        <v>53208</v>
      </c>
      <c r="E43" s="146">
        <v>4041</v>
      </c>
      <c r="F43" s="153">
        <v>2715</v>
      </c>
      <c r="G43" s="153">
        <v>281</v>
      </c>
      <c r="H43" s="154">
        <f t="shared" si="0"/>
        <v>0.10349907918968693</v>
      </c>
      <c r="I4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24.641255189798343</v>
      </c>
      <c r="J43" s="165">
        <v>433</v>
      </c>
      <c r="K43" s="165">
        <v>42</v>
      </c>
      <c r="L43" s="166">
        <f t="shared" si="1"/>
        <v>9.6997690531177835E-2</v>
      </c>
    </row>
    <row r="44" spans="2:12" s="117" customFormat="1" ht="20.100000000000001" customHeight="1" x14ac:dyDescent="0.2">
      <c r="B44" s="151">
        <v>41790</v>
      </c>
      <c r="C44" s="152" t="s">
        <v>59</v>
      </c>
      <c r="D44" s="146">
        <v>42633</v>
      </c>
      <c r="E44" s="146">
        <v>2448</v>
      </c>
      <c r="F44" s="153">
        <v>16691</v>
      </c>
      <c r="G44" s="153">
        <v>1085</v>
      </c>
      <c r="H44" s="154">
        <f t="shared" si="0"/>
        <v>6.5005092564855316E-2</v>
      </c>
      <c r="I4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17.760360663082437</v>
      </c>
      <c r="J44" s="165">
        <v>404</v>
      </c>
      <c r="K44" s="165">
        <v>28</v>
      </c>
      <c r="L44" s="166">
        <f t="shared" si="1"/>
        <v>6.9306930693069313E-2</v>
      </c>
    </row>
    <row r="45" spans="2:12" s="117" customFormat="1" ht="20.100000000000001" customHeight="1" x14ac:dyDescent="0.2">
      <c r="B45" s="151">
        <v>41790</v>
      </c>
      <c r="C45" s="152" t="s">
        <v>60</v>
      </c>
      <c r="D45" s="146">
        <v>34810</v>
      </c>
      <c r="E45" s="146">
        <v>1013</v>
      </c>
      <c r="F45" s="153">
        <v>10765</v>
      </c>
      <c r="G45" s="153">
        <v>505</v>
      </c>
      <c r="H45" s="154">
        <f t="shared" si="0"/>
        <v>4.6911286576869486E-2</v>
      </c>
      <c r="I4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46.07544348184819</v>
      </c>
      <c r="J45" s="165">
        <v>431</v>
      </c>
      <c r="K45" s="165">
        <v>34</v>
      </c>
      <c r="L45" s="166">
        <f t="shared" si="1"/>
        <v>7.8886310904872387E-2</v>
      </c>
    </row>
    <row r="46" spans="2:12" s="117" customFormat="1" ht="20.100000000000001" customHeight="1" x14ac:dyDescent="0.2">
      <c r="B46" s="144">
        <v>41820</v>
      </c>
      <c r="C46" s="145" t="s">
        <v>52</v>
      </c>
      <c r="D46" s="146">
        <v>55561</v>
      </c>
      <c r="E46" s="146">
        <v>4948</v>
      </c>
      <c r="F46" s="153">
        <v>6381</v>
      </c>
      <c r="G46" s="153">
        <v>1032</v>
      </c>
      <c r="H46" s="154">
        <f t="shared" si="0"/>
        <v>0.1617301363422661</v>
      </c>
      <c r="I4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0.25763081395348841</v>
      </c>
      <c r="J46" s="165">
        <v>409</v>
      </c>
      <c r="K46" s="164">
        <v>50</v>
      </c>
      <c r="L46" s="166">
        <f t="shared" si="1"/>
        <v>0.12224938875305623</v>
      </c>
    </row>
    <row r="47" spans="2:12" s="117" customFormat="1" ht="20.100000000000001" customHeight="1" x14ac:dyDescent="0.2">
      <c r="B47" s="151">
        <v>41820</v>
      </c>
      <c r="C47" s="152" t="s">
        <v>54</v>
      </c>
      <c r="D47" s="146">
        <v>82593</v>
      </c>
      <c r="E47" s="146">
        <v>6783</v>
      </c>
      <c r="F47" s="153">
        <v>8311</v>
      </c>
      <c r="G47" s="153">
        <v>716</v>
      </c>
      <c r="H47" s="154">
        <f t="shared" si="0"/>
        <v>8.6150884370111896E-2</v>
      </c>
      <c r="I4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20.837149868094357</v>
      </c>
      <c r="J47" s="165">
        <v>451</v>
      </c>
      <c r="K47" s="165">
        <v>39</v>
      </c>
      <c r="L47" s="166">
        <f t="shared" si="1"/>
        <v>8.6474501108647447E-2</v>
      </c>
    </row>
    <row r="48" spans="2:12" s="117" customFormat="1" ht="20.100000000000001" customHeight="1" x14ac:dyDescent="0.2">
      <c r="B48" s="151">
        <v>41820</v>
      </c>
      <c r="C48" s="152" t="s">
        <v>55</v>
      </c>
      <c r="D48" s="146">
        <v>69914</v>
      </c>
      <c r="E48" s="146">
        <v>3972</v>
      </c>
      <c r="F48" s="153">
        <v>6273</v>
      </c>
      <c r="G48" s="153">
        <v>499</v>
      </c>
      <c r="H48" s="154">
        <f t="shared" si="0"/>
        <v>7.9547266060895905E-2</v>
      </c>
      <c r="I4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27.302949649298597</v>
      </c>
      <c r="J48" s="165">
        <v>678</v>
      </c>
      <c r="K48" s="165">
        <v>57</v>
      </c>
      <c r="L48" s="166">
        <f t="shared" si="1"/>
        <v>8.4070796460176997E-2</v>
      </c>
    </row>
    <row r="49" spans="2:12" s="117" customFormat="1" ht="20.100000000000001" customHeight="1" x14ac:dyDescent="0.2">
      <c r="B49" s="151">
        <v>41820</v>
      </c>
      <c r="C49" s="152" t="s">
        <v>56</v>
      </c>
      <c r="D49" s="146">
        <v>68480</v>
      </c>
      <c r="E49" s="146">
        <v>3803</v>
      </c>
      <c r="F49" s="153">
        <v>2069</v>
      </c>
      <c r="G49" s="153">
        <v>174</v>
      </c>
      <c r="H49" s="154">
        <f t="shared" si="0"/>
        <v>8.409859835669406E-2</v>
      </c>
      <c r="I4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32.534562579821198</v>
      </c>
      <c r="J49" s="165">
        <v>587</v>
      </c>
      <c r="K49" s="165">
        <v>50</v>
      </c>
      <c r="L49" s="166">
        <f t="shared" si="1"/>
        <v>8.5178875638841564E-2</v>
      </c>
    </row>
    <row r="50" spans="2:12" s="117" customFormat="1" ht="20.100000000000001" customHeight="1" x14ac:dyDescent="0.2">
      <c r="B50" s="151">
        <v>41820</v>
      </c>
      <c r="C50" s="152" t="s">
        <v>57</v>
      </c>
      <c r="D50" s="146">
        <v>65773</v>
      </c>
      <c r="E50" s="146">
        <v>5407</v>
      </c>
      <c r="F50" s="153">
        <v>11324</v>
      </c>
      <c r="G50" s="153">
        <v>914</v>
      </c>
      <c r="H50" s="154">
        <f t="shared" si="0"/>
        <v>8.0713528788413993E-2</v>
      </c>
      <c r="I5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17.981977875030392</v>
      </c>
      <c r="J50" s="165">
        <v>438</v>
      </c>
      <c r="K50" s="165">
        <v>39</v>
      </c>
      <c r="L50" s="166">
        <f t="shared" si="1"/>
        <v>8.9041095890410954E-2</v>
      </c>
    </row>
    <row r="51" spans="2:12" s="117" customFormat="1" ht="20.100000000000001" customHeight="1" x14ac:dyDescent="0.2">
      <c r="B51" s="151">
        <v>41820</v>
      </c>
      <c r="C51" s="152" t="s">
        <v>58</v>
      </c>
      <c r="D51" s="146">
        <v>53581</v>
      </c>
      <c r="E51" s="146">
        <v>4079</v>
      </c>
      <c r="F51" s="153">
        <v>3088</v>
      </c>
      <c r="G51" s="153">
        <v>319</v>
      </c>
      <c r="H51" s="154">
        <f t="shared" si="0"/>
        <v>0.10330310880829016</v>
      </c>
      <c r="I5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24.04937304075235</v>
      </c>
      <c r="J51" s="165">
        <v>373</v>
      </c>
      <c r="K51" s="165">
        <v>38</v>
      </c>
      <c r="L51" s="166">
        <f t="shared" si="1"/>
        <v>0.10187667560321716</v>
      </c>
    </row>
    <row r="52" spans="2:12" s="117" customFormat="1" ht="20.100000000000001" customHeight="1" x14ac:dyDescent="0.2">
      <c r="B52" s="151">
        <v>41820</v>
      </c>
      <c r="C52" s="152" t="s">
        <v>59</v>
      </c>
      <c r="D52" s="146">
        <v>43266</v>
      </c>
      <c r="E52" s="146">
        <v>2495</v>
      </c>
      <c r="F52" s="153">
        <v>17324</v>
      </c>
      <c r="G52" s="153">
        <v>1132</v>
      </c>
      <c r="H52" s="154">
        <f t="shared" si="0"/>
        <v>6.5342876933733543E-2</v>
      </c>
      <c r="I5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16.419795347467613</v>
      </c>
      <c r="J52" s="165">
        <v>633</v>
      </c>
      <c r="K52" s="165">
        <v>47</v>
      </c>
      <c r="L52" s="166">
        <f t="shared" si="1"/>
        <v>7.4249605055292253E-2</v>
      </c>
    </row>
    <row r="53" spans="2:12" s="117" customFormat="1" ht="20.100000000000001" customHeight="1" x14ac:dyDescent="0.2">
      <c r="B53" s="151">
        <v>41820</v>
      </c>
      <c r="C53" s="152" t="s">
        <v>60</v>
      </c>
      <c r="D53" s="146">
        <v>35332</v>
      </c>
      <c r="E53" s="146">
        <v>1056</v>
      </c>
      <c r="F53" s="153">
        <v>11287</v>
      </c>
      <c r="G53" s="153">
        <v>548</v>
      </c>
      <c r="H53" s="154">
        <f t="shared" si="0"/>
        <v>4.8551430849650037E-2</v>
      </c>
      <c r="I5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42.981339973641532</v>
      </c>
      <c r="J53" s="165">
        <v>522</v>
      </c>
      <c r="K53" s="165">
        <v>43</v>
      </c>
      <c r="L53" s="166">
        <f t="shared" si="1"/>
        <v>8.2375478927203066E-2</v>
      </c>
    </row>
    <row r="54" spans="2:12" s="117" customFormat="1" ht="20.100000000000001" customHeight="1" x14ac:dyDescent="0.2">
      <c r="B54" s="144">
        <v>41851</v>
      </c>
      <c r="C54" s="145" t="s">
        <v>52</v>
      </c>
      <c r="D54" s="146">
        <v>56134</v>
      </c>
      <c r="E54" s="146">
        <v>5029</v>
      </c>
      <c r="F54" s="153">
        <v>6954</v>
      </c>
      <c r="G54" s="153">
        <v>1113</v>
      </c>
      <c r="H54" s="154">
        <f t="shared" si="0"/>
        <v>0.16005176876617774</v>
      </c>
      <c r="I5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-0.91116352201257844</v>
      </c>
      <c r="J54" s="165">
        <v>573</v>
      </c>
      <c r="K54" s="164">
        <v>81</v>
      </c>
      <c r="L54" s="166">
        <f t="shared" si="1"/>
        <v>0.14136125654450263</v>
      </c>
    </row>
    <row r="55" spans="2:12" s="117" customFormat="1" ht="20.100000000000001" customHeight="1" x14ac:dyDescent="0.2">
      <c r="B55" s="151">
        <v>41851</v>
      </c>
      <c r="C55" s="152" t="s">
        <v>54</v>
      </c>
      <c r="D55" s="146">
        <v>83193</v>
      </c>
      <c r="E55" s="146">
        <v>6833</v>
      </c>
      <c r="F55" s="153">
        <v>8911</v>
      </c>
      <c r="G55" s="153">
        <v>766</v>
      </c>
      <c r="H55" s="154">
        <f t="shared" si="0"/>
        <v>8.5961171585680618E-2</v>
      </c>
      <c r="I5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19.873313751087906</v>
      </c>
      <c r="J55" s="165">
        <v>600</v>
      </c>
      <c r="K55" s="165">
        <v>50</v>
      </c>
      <c r="L55" s="166">
        <f t="shared" si="1"/>
        <v>8.3333333333333329E-2</v>
      </c>
    </row>
    <row r="56" spans="2:12" s="117" customFormat="1" ht="20.100000000000001" customHeight="1" x14ac:dyDescent="0.2">
      <c r="B56" s="151">
        <v>41851</v>
      </c>
      <c r="C56" s="152" t="s">
        <v>55</v>
      </c>
      <c r="D56" s="146">
        <v>70509</v>
      </c>
      <c r="E56" s="146">
        <v>4020</v>
      </c>
      <c r="F56" s="153">
        <v>6868</v>
      </c>
      <c r="G56" s="153">
        <v>547</v>
      </c>
      <c r="H56" s="154">
        <f t="shared" si="0"/>
        <v>7.9644729178800236E-2</v>
      </c>
      <c r="I5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26.223225167580747</v>
      </c>
      <c r="J56" s="165">
        <v>595</v>
      </c>
      <c r="K56" s="165">
        <v>48</v>
      </c>
      <c r="L56" s="166">
        <f t="shared" si="1"/>
        <v>8.067226890756303E-2</v>
      </c>
    </row>
    <row r="57" spans="2:12" s="117" customFormat="1" ht="20.100000000000001" customHeight="1" x14ac:dyDescent="0.2">
      <c r="B57" s="151">
        <v>41851</v>
      </c>
      <c r="C57" s="152" t="s">
        <v>56</v>
      </c>
      <c r="D57" s="146">
        <v>68663</v>
      </c>
      <c r="E57" s="146">
        <v>3827</v>
      </c>
      <c r="F57" s="153">
        <v>2252</v>
      </c>
      <c r="G57" s="153">
        <v>198</v>
      </c>
      <c r="H57" s="154">
        <f t="shared" si="0"/>
        <v>8.7921847246891657E-2</v>
      </c>
      <c r="I5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30.645903479236814</v>
      </c>
      <c r="J57" s="165">
        <v>183</v>
      </c>
      <c r="K57" s="165">
        <v>24</v>
      </c>
      <c r="L57" s="166">
        <f t="shared" si="1"/>
        <v>0.13114754098360656</v>
      </c>
    </row>
    <row r="58" spans="2:12" s="117" customFormat="1" ht="20.100000000000001" customHeight="1" x14ac:dyDescent="0.2">
      <c r="B58" s="151">
        <v>41851</v>
      </c>
      <c r="C58" s="152" t="s">
        <v>57</v>
      </c>
      <c r="D58" s="146">
        <v>66023</v>
      </c>
      <c r="E58" s="146">
        <v>5440</v>
      </c>
      <c r="F58" s="153">
        <v>11574</v>
      </c>
      <c r="G58" s="153">
        <v>947</v>
      </c>
      <c r="H58" s="154">
        <f t="shared" si="0"/>
        <v>8.1821323656471406E-2</v>
      </c>
      <c r="I5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17.038311774023231</v>
      </c>
      <c r="J58" s="165">
        <v>250</v>
      </c>
      <c r="K58" s="165">
        <v>33</v>
      </c>
      <c r="L58" s="166">
        <f t="shared" si="1"/>
        <v>0.13200000000000001</v>
      </c>
    </row>
    <row r="59" spans="2:12" s="117" customFormat="1" ht="20.100000000000001" customHeight="1" x14ac:dyDescent="0.2">
      <c r="B59" s="151">
        <v>41851</v>
      </c>
      <c r="C59" s="152" t="s">
        <v>58</v>
      </c>
      <c r="D59" s="146">
        <v>54093</v>
      </c>
      <c r="E59" s="146">
        <v>4132</v>
      </c>
      <c r="F59" s="153">
        <v>3600</v>
      </c>
      <c r="G59" s="153">
        <v>372</v>
      </c>
      <c r="H59" s="154">
        <f t="shared" si="0"/>
        <v>0.10333333333333333</v>
      </c>
      <c r="I5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23.151881720430108</v>
      </c>
      <c r="J59" s="165">
        <v>512</v>
      </c>
      <c r="K59" s="165">
        <v>53</v>
      </c>
      <c r="L59" s="166">
        <f t="shared" si="1"/>
        <v>0.103515625</v>
      </c>
    </row>
    <row r="60" spans="2:12" s="117" customFormat="1" ht="20.100000000000001" customHeight="1" x14ac:dyDescent="0.2">
      <c r="B60" s="151">
        <v>41851</v>
      </c>
      <c r="C60" s="152" t="s">
        <v>59</v>
      </c>
      <c r="D60" s="146">
        <v>43889</v>
      </c>
      <c r="E60" s="146">
        <v>2539</v>
      </c>
      <c r="F60" s="153">
        <v>17947</v>
      </c>
      <c r="G60" s="153">
        <v>1176</v>
      </c>
      <c r="H60" s="154">
        <f t="shared" si="0"/>
        <v>6.5526271800300892E-2</v>
      </c>
      <c r="I6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15.208064649470904</v>
      </c>
      <c r="J60" s="165">
        <v>623</v>
      </c>
      <c r="K60" s="165">
        <v>44</v>
      </c>
      <c r="L60" s="166">
        <f t="shared" si="1"/>
        <v>7.0626003210272875E-2</v>
      </c>
    </row>
    <row r="61" spans="2:12" s="117" customFormat="1" ht="20.100000000000001" customHeight="1" x14ac:dyDescent="0.2">
      <c r="B61" s="151">
        <v>41851</v>
      </c>
      <c r="C61" s="152" t="s">
        <v>60</v>
      </c>
      <c r="D61" s="146">
        <v>35802</v>
      </c>
      <c r="E61" s="146">
        <v>1104</v>
      </c>
      <c r="F61" s="153">
        <v>11757</v>
      </c>
      <c r="G61" s="153">
        <v>596</v>
      </c>
      <c r="H61" s="154">
        <f t="shared" si="0"/>
        <v>5.0693204048651866E-2</v>
      </c>
      <c r="I6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39.521514960850119</v>
      </c>
      <c r="J61" s="165">
        <v>470</v>
      </c>
      <c r="K61" s="165">
        <v>48</v>
      </c>
      <c r="L61" s="166">
        <f t="shared" si="1"/>
        <v>0.10212765957446808</v>
      </c>
    </row>
    <row r="62" spans="2:12" s="117" customFormat="1" ht="20.100000000000001" customHeight="1" x14ac:dyDescent="0.2">
      <c r="B62" s="144">
        <v>41882</v>
      </c>
      <c r="C62" s="145" t="s">
        <v>52</v>
      </c>
      <c r="D62" s="146">
        <v>56755</v>
      </c>
      <c r="E62" s="146">
        <v>5107</v>
      </c>
      <c r="F62" s="153">
        <v>7575</v>
      </c>
      <c r="G62" s="153">
        <v>1191</v>
      </c>
      <c r="H62" s="154">
        <f t="shared" si="0"/>
        <v>0.15722772277227723</v>
      </c>
      <c r="I6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-2.0758991043940664</v>
      </c>
      <c r="J62" s="165">
        <v>621</v>
      </c>
      <c r="K62" s="164">
        <v>78</v>
      </c>
      <c r="L62" s="166">
        <f t="shared" si="1"/>
        <v>0.12560386473429952</v>
      </c>
    </row>
    <row r="63" spans="2:12" s="117" customFormat="1" ht="20.100000000000001" customHeight="1" x14ac:dyDescent="0.2">
      <c r="B63" s="151">
        <v>41882</v>
      </c>
      <c r="C63" s="152" t="s">
        <v>54</v>
      </c>
      <c r="D63" s="146">
        <v>83737</v>
      </c>
      <c r="E63" s="146">
        <v>6878</v>
      </c>
      <c r="F63" s="153">
        <v>9455</v>
      </c>
      <c r="G63" s="153">
        <v>811</v>
      </c>
      <c r="H63" s="154">
        <f t="shared" si="0"/>
        <v>8.5774722369116874E-2</v>
      </c>
      <c r="I6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19.005696413892316</v>
      </c>
      <c r="J63" s="165">
        <v>544</v>
      </c>
      <c r="K63" s="165">
        <v>45</v>
      </c>
      <c r="L63" s="166">
        <f t="shared" si="1"/>
        <v>8.2720588235294115E-2</v>
      </c>
    </row>
    <row r="64" spans="2:12" s="117" customFormat="1" ht="20.100000000000001" customHeight="1" x14ac:dyDescent="0.2">
      <c r="B64" s="151">
        <v>41882</v>
      </c>
      <c r="C64" s="152" t="s">
        <v>55</v>
      </c>
      <c r="D64" s="146">
        <v>70659</v>
      </c>
      <c r="E64" s="146">
        <v>4043</v>
      </c>
      <c r="F64" s="153">
        <v>7018</v>
      </c>
      <c r="G64" s="153">
        <v>570</v>
      </c>
      <c r="H64" s="154">
        <f t="shared" si="0"/>
        <v>8.1219720718153324E-2</v>
      </c>
      <c r="I6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25.223075048732944</v>
      </c>
      <c r="J64" s="165">
        <v>150</v>
      </c>
      <c r="K64" s="165">
        <v>23</v>
      </c>
      <c r="L64" s="166">
        <f t="shared" si="1"/>
        <v>0.15333333333333332</v>
      </c>
    </row>
    <row r="65" spans="2:12" s="117" customFormat="1" ht="20.100000000000001" customHeight="1" x14ac:dyDescent="0.2">
      <c r="B65" s="151">
        <v>41882</v>
      </c>
      <c r="C65" s="152" t="s">
        <v>56</v>
      </c>
      <c r="D65" s="146">
        <v>69229</v>
      </c>
      <c r="E65" s="146">
        <v>3885</v>
      </c>
      <c r="F65" s="153">
        <v>2818</v>
      </c>
      <c r="G65" s="153">
        <v>256</v>
      </c>
      <c r="H65" s="154">
        <f t="shared" si="0"/>
        <v>9.0844570617459194E-2</v>
      </c>
      <c r="I6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28.551513671875</v>
      </c>
      <c r="J65" s="165">
        <v>566</v>
      </c>
      <c r="K65" s="165">
        <v>58</v>
      </c>
      <c r="L65" s="166">
        <f t="shared" si="1"/>
        <v>0.10247349823321555</v>
      </c>
    </row>
    <row r="66" spans="2:12" s="117" customFormat="1" ht="20.100000000000001" customHeight="1" x14ac:dyDescent="0.2">
      <c r="B66" s="151">
        <v>41882</v>
      </c>
      <c r="C66" s="152" t="s">
        <v>57</v>
      </c>
      <c r="D66" s="146">
        <v>66395</v>
      </c>
      <c r="E66" s="146">
        <v>5473</v>
      </c>
      <c r="F66" s="153">
        <v>11946</v>
      </c>
      <c r="G66" s="153">
        <v>980</v>
      </c>
      <c r="H66" s="154">
        <f t="shared" si="0"/>
        <v>8.2035827892181487E-2</v>
      </c>
      <c r="I6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16.295386904761909</v>
      </c>
      <c r="J66" s="165">
        <v>372</v>
      </c>
      <c r="K66" s="165">
        <v>33</v>
      </c>
      <c r="L66" s="166">
        <f t="shared" si="1"/>
        <v>8.8709677419354843E-2</v>
      </c>
    </row>
    <row r="67" spans="2:12" s="117" customFormat="1" ht="20.100000000000001" customHeight="1" x14ac:dyDescent="0.2">
      <c r="B67" s="151">
        <v>41882</v>
      </c>
      <c r="C67" s="152" t="s">
        <v>58</v>
      </c>
      <c r="D67" s="146">
        <v>54679</v>
      </c>
      <c r="E67" s="146">
        <v>4194</v>
      </c>
      <c r="F67" s="153">
        <v>4186</v>
      </c>
      <c r="G67" s="153">
        <v>434</v>
      </c>
      <c r="H67" s="154">
        <f t="shared" si="0"/>
        <v>0.10367892976588629</v>
      </c>
      <c r="I6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22.036514336917566</v>
      </c>
      <c r="J67" s="165">
        <v>586</v>
      </c>
      <c r="K67" s="165">
        <v>62</v>
      </c>
      <c r="L67" s="166">
        <f t="shared" si="1"/>
        <v>0.10580204778156997</v>
      </c>
    </row>
    <row r="68" spans="2:12" s="117" customFormat="1" ht="20.100000000000001" customHeight="1" x14ac:dyDescent="0.2">
      <c r="B68" s="151">
        <v>41882</v>
      </c>
      <c r="C68" s="152" t="s">
        <v>59</v>
      </c>
      <c r="D68" s="146">
        <v>44400</v>
      </c>
      <c r="E68" s="146">
        <v>2581</v>
      </c>
      <c r="F68" s="153">
        <v>18458</v>
      </c>
      <c r="G68" s="153">
        <v>1218</v>
      </c>
      <c r="H68" s="154">
        <f t="shared" si="0"/>
        <v>6.5987647632462884E-2</v>
      </c>
      <c r="I6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13.996727330779061</v>
      </c>
      <c r="J68" s="165">
        <v>511</v>
      </c>
      <c r="K68" s="165">
        <v>42</v>
      </c>
      <c r="L68" s="166">
        <f t="shared" si="1"/>
        <v>8.2191780821917804E-2</v>
      </c>
    </row>
    <row r="69" spans="2:12" s="117" customFormat="1" ht="20.100000000000001" customHeight="1" x14ac:dyDescent="0.2">
      <c r="B69" s="151">
        <v>41882</v>
      </c>
      <c r="C69" s="152" t="s">
        <v>60</v>
      </c>
      <c r="D69" s="146">
        <v>36136</v>
      </c>
      <c r="E69" s="146">
        <v>1137</v>
      </c>
      <c r="F69" s="153">
        <v>12091</v>
      </c>
      <c r="G69" s="153">
        <v>629</v>
      </c>
      <c r="H69" s="154">
        <f t="shared" ref="H69:H132" si="2">IFERROR(G69/F69,"")</f>
        <v>5.202216524687784E-2</v>
      </c>
      <c r="I69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37.410602698286525</v>
      </c>
      <c r="J69" s="165">
        <v>334</v>
      </c>
      <c r="K69" s="165">
        <v>33</v>
      </c>
      <c r="L69" s="166">
        <f t="shared" ref="L69:L132" si="3">IFERROR(K69/J69,"")</f>
        <v>9.880239520958084E-2</v>
      </c>
    </row>
    <row r="70" spans="2:12" s="117" customFormat="1" ht="20.100000000000001" customHeight="1" x14ac:dyDescent="0.2">
      <c r="B70" s="144">
        <v>41912</v>
      </c>
      <c r="C70" s="145" t="s">
        <v>52</v>
      </c>
      <c r="D70" s="146">
        <v>57299</v>
      </c>
      <c r="E70" s="146">
        <v>5181</v>
      </c>
      <c r="F70" s="153">
        <v>8119</v>
      </c>
      <c r="G70" s="153">
        <v>1265</v>
      </c>
      <c r="H70" s="154">
        <f t="shared" si="2"/>
        <v>0.15580736543909349</v>
      </c>
      <c r="I7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-3.1942340067340065</v>
      </c>
      <c r="J70" s="165">
        <v>544</v>
      </c>
      <c r="K70" s="164">
        <v>74</v>
      </c>
      <c r="L70" s="166">
        <f t="shared" si="3"/>
        <v>0.13602941176470587</v>
      </c>
    </row>
    <row r="71" spans="2:12" s="117" customFormat="1" ht="20.100000000000001" customHeight="1" x14ac:dyDescent="0.2">
      <c r="B71" s="151">
        <v>41912</v>
      </c>
      <c r="C71" s="152" t="s">
        <v>54</v>
      </c>
      <c r="D71" s="146">
        <v>84045</v>
      </c>
      <c r="E71" s="146">
        <v>6917</v>
      </c>
      <c r="F71" s="153">
        <v>9763</v>
      </c>
      <c r="G71" s="153">
        <v>850</v>
      </c>
      <c r="H71" s="154">
        <f t="shared" si="2"/>
        <v>8.7063402642630336E-2</v>
      </c>
      <c r="I7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17.946691176470591</v>
      </c>
      <c r="J71" s="165">
        <v>308</v>
      </c>
      <c r="K71" s="165">
        <v>39</v>
      </c>
      <c r="L71" s="166">
        <f t="shared" si="3"/>
        <v>0.12662337662337661</v>
      </c>
    </row>
    <row r="72" spans="2:12" s="117" customFormat="1" ht="20.100000000000001" customHeight="1" x14ac:dyDescent="0.2">
      <c r="B72" s="151">
        <v>41912</v>
      </c>
      <c r="C72" s="152" t="s">
        <v>55</v>
      </c>
      <c r="D72" s="146">
        <v>71215</v>
      </c>
      <c r="E72" s="146">
        <v>4102</v>
      </c>
      <c r="F72" s="153">
        <v>7574</v>
      </c>
      <c r="G72" s="153">
        <v>629</v>
      </c>
      <c r="H72" s="154">
        <f t="shared" si="2"/>
        <v>8.3047266965936103E-2</v>
      </c>
      <c r="I7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23.434612921745277</v>
      </c>
      <c r="J72" s="165">
        <v>556</v>
      </c>
      <c r="K72" s="165">
        <v>59</v>
      </c>
      <c r="L72" s="166">
        <f t="shared" si="3"/>
        <v>0.10611510791366907</v>
      </c>
    </row>
    <row r="73" spans="2:12" s="117" customFormat="1" ht="20.100000000000001" customHeight="1" x14ac:dyDescent="0.2">
      <c r="B73" s="151">
        <v>41912</v>
      </c>
      <c r="C73" s="152" t="s">
        <v>56</v>
      </c>
      <c r="D73" s="146">
        <v>69856</v>
      </c>
      <c r="E73" s="146">
        <v>3934</v>
      </c>
      <c r="F73" s="153">
        <v>3445</v>
      </c>
      <c r="G73" s="153">
        <v>305</v>
      </c>
      <c r="H73" s="154">
        <f t="shared" si="2"/>
        <v>8.8534107402031936E-2</v>
      </c>
      <c r="I7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28.335752504553732</v>
      </c>
      <c r="J73" s="165">
        <v>627</v>
      </c>
      <c r="K73" s="165">
        <v>49</v>
      </c>
      <c r="L73" s="166">
        <f t="shared" si="3"/>
        <v>7.8149920255183414E-2</v>
      </c>
    </row>
    <row r="74" spans="2:12" s="117" customFormat="1" ht="20.100000000000001" customHeight="1" x14ac:dyDescent="0.2">
      <c r="B74" s="151">
        <v>41912</v>
      </c>
      <c r="C74" s="152" t="s">
        <v>57</v>
      </c>
      <c r="D74" s="146">
        <v>66937</v>
      </c>
      <c r="E74" s="146">
        <v>5519</v>
      </c>
      <c r="F74" s="153">
        <v>12488</v>
      </c>
      <c r="G74" s="153">
        <v>1026</v>
      </c>
      <c r="H74" s="154">
        <f t="shared" si="2"/>
        <v>8.2158872517616915E-2</v>
      </c>
      <c r="I7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15.298949534329656</v>
      </c>
      <c r="J74" s="165">
        <v>542</v>
      </c>
      <c r="K74" s="165">
        <v>46</v>
      </c>
      <c r="L74" s="166">
        <f t="shared" si="3"/>
        <v>8.4870848708487087E-2</v>
      </c>
    </row>
    <row r="75" spans="2:12" s="117" customFormat="1" ht="20.100000000000001" customHeight="1" x14ac:dyDescent="0.2">
      <c r="B75" s="151">
        <v>41912</v>
      </c>
      <c r="C75" s="152" t="s">
        <v>58</v>
      </c>
      <c r="D75" s="146">
        <v>55197</v>
      </c>
      <c r="E75" s="146">
        <v>4241</v>
      </c>
      <c r="F75" s="153">
        <v>4704</v>
      </c>
      <c r="G75" s="153">
        <v>481</v>
      </c>
      <c r="H75" s="154">
        <f t="shared" si="2"/>
        <v>0.10225340136054421</v>
      </c>
      <c r="I75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21.545738045738048</v>
      </c>
      <c r="J75" s="165">
        <v>518</v>
      </c>
      <c r="K75" s="165">
        <v>47</v>
      </c>
      <c r="L75" s="166">
        <f t="shared" si="3"/>
        <v>9.0733590733590733E-2</v>
      </c>
    </row>
    <row r="76" spans="2:12" s="117" customFormat="1" ht="20.100000000000001" customHeight="1" x14ac:dyDescent="0.2">
      <c r="B76" s="151">
        <v>41912</v>
      </c>
      <c r="C76" s="152" t="s">
        <v>59</v>
      </c>
      <c r="D76" s="146">
        <v>44848</v>
      </c>
      <c r="E76" s="146">
        <v>2616</v>
      </c>
      <c r="F76" s="153">
        <v>18906</v>
      </c>
      <c r="G76" s="153">
        <v>1253</v>
      </c>
      <c r="H76" s="154">
        <f t="shared" si="2"/>
        <v>6.6275256532317778E-2</v>
      </c>
      <c r="I76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13.019145716946003</v>
      </c>
      <c r="J76" s="165">
        <v>448</v>
      </c>
      <c r="K76" s="165">
        <v>35</v>
      </c>
      <c r="L76" s="166">
        <f t="shared" si="3"/>
        <v>7.8125E-2</v>
      </c>
    </row>
    <row r="77" spans="2:12" s="117" customFormat="1" ht="20.100000000000001" customHeight="1" x14ac:dyDescent="0.2">
      <c r="B77" s="151">
        <v>41912</v>
      </c>
      <c r="C77" s="152" t="s">
        <v>60</v>
      </c>
      <c r="D77" s="146">
        <v>36564</v>
      </c>
      <c r="E77" s="146">
        <v>1172</v>
      </c>
      <c r="F77" s="153">
        <v>12519</v>
      </c>
      <c r="G77" s="153">
        <v>664</v>
      </c>
      <c r="H77" s="154">
        <f t="shared" si="2"/>
        <v>5.303938014218388E-2</v>
      </c>
      <c r="I7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35.547486822289159</v>
      </c>
      <c r="J77" s="165">
        <v>428</v>
      </c>
      <c r="K77" s="165">
        <v>35</v>
      </c>
      <c r="L77" s="166">
        <f t="shared" si="3"/>
        <v>8.1775700934579434E-2</v>
      </c>
    </row>
    <row r="78" spans="2:12" s="117" customFormat="1" ht="20.100000000000001" customHeight="1" x14ac:dyDescent="0.2">
      <c r="B78" s="151">
        <v>41927</v>
      </c>
      <c r="C78" s="152" t="s">
        <v>13</v>
      </c>
      <c r="D78" s="146">
        <v>87237</v>
      </c>
      <c r="E78" s="146">
        <v>5626</v>
      </c>
      <c r="F78" s="153">
        <v>63192</v>
      </c>
      <c r="G78" s="153">
        <v>5118</v>
      </c>
      <c r="H78" s="154">
        <f t="shared" si="2"/>
        <v>8.0991264717052786E-2</v>
      </c>
      <c r="I7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78" s="165"/>
      <c r="K78" s="165"/>
      <c r="L78" s="166" t="str">
        <f t="shared" si="3"/>
        <v/>
      </c>
    </row>
    <row r="79" spans="2:12" s="117" customFormat="1" ht="20.100000000000001" customHeight="1" x14ac:dyDescent="0.2">
      <c r="B79" s="151">
        <v>41927</v>
      </c>
      <c r="C79" s="152" t="s">
        <v>20</v>
      </c>
      <c r="D79" s="146">
        <v>105189</v>
      </c>
      <c r="E79" s="146">
        <v>5526</v>
      </c>
      <c r="F79" s="153">
        <v>24041</v>
      </c>
      <c r="G79" s="153"/>
      <c r="H79" s="154">
        <f t="shared" si="2"/>
        <v>0</v>
      </c>
      <c r="I7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79" s="165"/>
      <c r="K79" s="165"/>
      <c r="L79" s="166" t="str">
        <f t="shared" si="3"/>
        <v/>
      </c>
    </row>
    <row r="80" spans="2:12" s="117" customFormat="1" ht="20.100000000000001" customHeight="1" x14ac:dyDescent="0.2">
      <c r="B80" s="151">
        <v>41927</v>
      </c>
      <c r="C80" s="152" t="s">
        <v>11</v>
      </c>
      <c r="D80" s="146">
        <v>100589</v>
      </c>
      <c r="E80" s="146">
        <v>5369</v>
      </c>
      <c r="F80" s="153">
        <v>5171</v>
      </c>
      <c r="G80" s="153">
        <v>695</v>
      </c>
      <c r="H80" s="154">
        <f t="shared" si="2"/>
        <v>0.13440340359698316</v>
      </c>
      <c r="I80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13.627610411670668</v>
      </c>
      <c r="J80" s="165"/>
      <c r="K80" s="165"/>
      <c r="L80" s="166" t="str">
        <f t="shared" si="3"/>
        <v/>
      </c>
    </row>
    <row r="81" spans="2:16" s="117" customFormat="1" ht="20.100000000000001" customHeight="1" x14ac:dyDescent="0.2">
      <c r="B81" s="151">
        <v>41927</v>
      </c>
      <c r="C81" s="152" t="s">
        <v>16</v>
      </c>
      <c r="D81" s="146">
        <v>98410</v>
      </c>
      <c r="E81" s="146">
        <v>4570</v>
      </c>
      <c r="F81" s="153">
        <v>3212</v>
      </c>
      <c r="G81" s="153">
        <v>198</v>
      </c>
      <c r="H81" s="154">
        <f t="shared" si="2"/>
        <v>6.1643835616438353E-2</v>
      </c>
      <c r="I81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43.70987654320988</v>
      </c>
      <c r="J81" s="165"/>
      <c r="K81" s="165"/>
      <c r="L81" s="166" t="str">
        <f t="shared" si="3"/>
        <v/>
      </c>
    </row>
    <row r="82" spans="2:16" s="117" customFormat="1" ht="20.100000000000001" customHeight="1" x14ac:dyDescent="0.2">
      <c r="B82" s="151">
        <v>41927</v>
      </c>
      <c r="C82" s="152" t="s">
        <v>15</v>
      </c>
      <c r="D82" s="146">
        <v>67086</v>
      </c>
      <c r="E82" s="146">
        <v>3260</v>
      </c>
      <c r="F82" s="153">
        <v>9571</v>
      </c>
      <c r="G82" s="153">
        <v>365</v>
      </c>
      <c r="H82" s="154">
        <f t="shared" si="2"/>
        <v>3.8136035941907849E-2</v>
      </c>
      <c r="I82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63.050965563165903</v>
      </c>
      <c r="J82" s="165"/>
      <c r="K82" s="165"/>
      <c r="L82" s="166" t="str">
        <f t="shared" si="3"/>
        <v/>
      </c>
    </row>
    <row r="83" spans="2:16" s="117" customFormat="1" ht="20.100000000000001" customHeight="1" x14ac:dyDescent="0.2">
      <c r="B83" s="151">
        <v>41927</v>
      </c>
      <c r="C83" s="152" t="s">
        <v>17</v>
      </c>
      <c r="D83" s="146">
        <v>66440</v>
      </c>
      <c r="E83" s="146">
        <v>3731</v>
      </c>
      <c r="F83" s="153">
        <v>4125</v>
      </c>
      <c r="G83" s="153">
        <v>284</v>
      </c>
      <c r="H83" s="154">
        <f t="shared" si="2"/>
        <v>6.8848484848484853E-2</v>
      </c>
      <c r="I83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36.967246185446015</v>
      </c>
      <c r="J83" s="165"/>
      <c r="K83" s="165"/>
      <c r="L83" s="166" t="str">
        <f t="shared" si="3"/>
        <v/>
      </c>
    </row>
    <row r="84" spans="2:16" s="117" customFormat="1" ht="20.100000000000001" customHeight="1" x14ac:dyDescent="0.2">
      <c r="B84" s="151">
        <v>41927</v>
      </c>
      <c r="C84" s="152" t="s">
        <v>12</v>
      </c>
      <c r="D84" s="146">
        <v>40336</v>
      </c>
      <c r="E84" s="146">
        <v>2131</v>
      </c>
      <c r="F84" s="153">
        <v>13387</v>
      </c>
      <c r="G84" s="153">
        <v>723</v>
      </c>
      <c r="H84" s="154">
        <f t="shared" si="2"/>
        <v>5.4007619332187944E-2</v>
      </c>
      <c r="I84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33.013603138927309</v>
      </c>
      <c r="J84" s="165"/>
      <c r="K84" s="165"/>
      <c r="L84" s="166" t="str">
        <f t="shared" si="3"/>
        <v/>
      </c>
    </row>
    <row r="85" spans="2:16" s="117" customFormat="1" ht="20.100000000000001" customHeight="1" x14ac:dyDescent="0.2">
      <c r="B85" s="151">
        <v>41927</v>
      </c>
      <c r="C85" s="152" t="s">
        <v>14</v>
      </c>
      <c r="D85" s="146">
        <v>52049</v>
      </c>
      <c r="E85" s="146">
        <v>1331</v>
      </c>
      <c r="F85" s="153">
        <v>6189</v>
      </c>
      <c r="G85" s="153"/>
      <c r="H85" s="154">
        <f t="shared" si="2"/>
        <v>0</v>
      </c>
      <c r="I8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85" s="165"/>
      <c r="K85" s="165"/>
      <c r="L85" s="166" t="str">
        <f t="shared" si="3"/>
        <v/>
      </c>
    </row>
    <row r="86" spans="2:16" s="117" customFormat="1" ht="20.100000000000001" customHeight="1" x14ac:dyDescent="0.2">
      <c r="B86" s="151">
        <v>41927</v>
      </c>
      <c r="C86" s="152" t="s">
        <v>18</v>
      </c>
      <c r="D86" s="146">
        <v>46511</v>
      </c>
      <c r="E86" s="146">
        <v>984</v>
      </c>
      <c r="F86" s="153">
        <v>1917</v>
      </c>
      <c r="G86" s="153"/>
      <c r="H86" s="154">
        <f t="shared" si="2"/>
        <v>0</v>
      </c>
      <c r="I8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86" s="165"/>
      <c r="K86" s="165"/>
      <c r="L86" s="166" t="str">
        <f t="shared" si="3"/>
        <v/>
      </c>
    </row>
    <row r="87" spans="2:16" s="117" customFormat="1" ht="20.100000000000001" customHeight="1" x14ac:dyDescent="0.2">
      <c r="B87" s="151">
        <v>41927</v>
      </c>
      <c r="C87" s="152" t="s">
        <v>19</v>
      </c>
      <c r="D87" s="146">
        <v>28364</v>
      </c>
      <c r="E87" s="146">
        <v>1465</v>
      </c>
      <c r="F87" s="153">
        <v>4428</v>
      </c>
      <c r="G87" s="153">
        <v>334</v>
      </c>
      <c r="H87" s="154">
        <f t="shared" si="2"/>
        <v>7.5429087624209579E-2</v>
      </c>
      <c r="I87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32.591317365269461</v>
      </c>
      <c r="J87" s="165"/>
      <c r="K87" s="165"/>
      <c r="L87" s="163" t="str">
        <f t="shared" si="3"/>
        <v/>
      </c>
      <c r="M87" s="157"/>
      <c r="P87" s="157"/>
    </row>
    <row r="88" spans="2:16" s="117" customFormat="1" ht="20.100000000000001" customHeight="1" x14ac:dyDescent="0.2">
      <c r="B88" s="151">
        <v>42041</v>
      </c>
      <c r="C88" s="152" t="s">
        <v>12</v>
      </c>
      <c r="D88" s="146">
        <v>42286</v>
      </c>
      <c r="E88" s="146">
        <v>2199</v>
      </c>
      <c r="F88" s="153">
        <v>15337</v>
      </c>
      <c r="G88" s="153">
        <v>791</v>
      </c>
      <c r="H88" s="154">
        <f t="shared" si="2"/>
        <v>5.1574623459607484E-2</v>
      </c>
      <c r="I88" s="153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>32.281972099311709</v>
      </c>
      <c r="J88" s="165">
        <v>1950</v>
      </c>
      <c r="K88" s="165">
        <v>68</v>
      </c>
      <c r="L88" s="166">
        <f t="shared" si="3"/>
        <v>3.487179487179487E-2</v>
      </c>
    </row>
    <row r="89" spans="2:16" s="117" customFormat="1" ht="20.100000000000001" customHeight="1" x14ac:dyDescent="0.2">
      <c r="B89" s="151"/>
      <c r="C89" s="152"/>
      <c r="D89" s="146"/>
      <c r="E89" s="146"/>
      <c r="F89" s="153"/>
      <c r="G89" s="153"/>
      <c r="H89" s="154" t="str">
        <f t="shared" si="2"/>
        <v/>
      </c>
      <c r="I8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89" s="165"/>
      <c r="K89" s="165"/>
      <c r="L89" s="166" t="str">
        <f t="shared" si="3"/>
        <v/>
      </c>
    </row>
    <row r="90" spans="2:16" s="117" customFormat="1" ht="20.100000000000001" customHeight="1" x14ac:dyDescent="0.2">
      <c r="B90" s="151"/>
      <c r="C90" s="152"/>
      <c r="D90" s="146"/>
      <c r="E90" s="146"/>
      <c r="F90" s="153"/>
      <c r="G90" s="153"/>
      <c r="H90" s="154" t="str">
        <f t="shared" si="2"/>
        <v/>
      </c>
      <c r="I9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0" s="165"/>
      <c r="K90" s="165"/>
      <c r="L90" s="166" t="str">
        <f t="shared" si="3"/>
        <v/>
      </c>
    </row>
    <row r="91" spans="2:16" s="117" customFormat="1" ht="20.100000000000001" customHeight="1" x14ac:dyDescent="0.2">
      <c r="B91" s="151"/>
      <c r="C91" s="152"/>
      <c r="D91" s="146"/>
      <c r="E91" s="146"/>
      <c r="F91" s="153"/>
      <c r="G91" s="153"/>
      <c r="H91" s="154" t="str">
        <f t="shared" si="2"/>
        <v/>
      </c>
      <c r="I9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1" s="165"/>
      <c r="K91" s="165"/>
      <c r="L91" s="166" t="str">
        <f t="shared" si="3"/>
        <v/>
      </c>
    </row>
    <row r="92" spans="2:16" s="117" customFormat="1" ht="20.100000000000001" customHeight="1" x14ac:dyDescent="0.2">
      <c r="B92" s="151"/>
      <c r="C92" s="152"/>
      <c r="D92" s="146"/>
      <c r="E92" s="146"/>
      <c r="F92" s="153"/>
      <c r="G92" s="153"/>
      <c r="H92" s="154" t="str">
        <f t="shared" si="2"/>
        <v/>
      </c>
      <c r="I9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2" s="165"/>
      <c r="K92" s="165"/>
      <c r="L92" s="166" t="str">
        <f t="shared" si="3"/>
        <v/>
      </c>
    </row>
    <row r="93" spans="2:16" s="117" customFormat="1" ht="20.100000000000001" customHeight="1" x14ac:dyDescent="0.2">
      <c r="B93" s="151"/>
      <c r="C93" s="152"/>
      <c r="D93" s="146"/>
      <c r="E93" s="146"/>
      <c r="F93" s="153"/>
      <c r="G93" s="153"/>
      <c r="H93" s="154" t="str">
        <f t="shared" si="2"/>
        <v/>
      </c>
      <c r="I9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3" s="165"/>
      <c r="K93" s="165"/>
      <c r="L93" s="166" t="str">
        <f t="shared" si="3"/>
        <v/>
      </c>
    </row>
    <row r="94" spans="2:16" s="117" customFormat="1" ht="20.100000000000001" customHeight="1" x14ac:dyDescent="0.2">
      <c r="B94" s="151"/>
      <c r="C94" s="152"/>
      <c r="D94" s="146"/>
      <c r="E94" s="146"/>
      <c r="F94" s="153"/>
      <c r="G94" s="153"/>
      <c r="H94" s="154" t="str">
        <f t="shared" si="2"/>
        <v/>
      </c>
      <c r="I9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4" s="165"/>
      <c r="K94" s="165"/>
      <c r="L94" s="166" t="str">
        <f t="shared" si="3"/>
        <v/>
      </c>
    </row>
    <row r="95" spans="2:16" s="117" customFormat="1" ht="20.100000000000001" customHeight="1" x14ac:dyDescent="0.2">
      <c r="B95" s="151"/>
      <c r="C95" s="152"/>
      <c r="D95" s="146"/>
      <c r="E95" s="146"/>
      <c r="F95" s="153"/>
      <c r="G95" s="153"/>
      <c r="H95" s="154" t="str">
        <f t="shared" si="2"/>
        <v/>
      </c>
      <c r="I9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5" s="165"/>
      <c r="K95" s="165"/>
      <c r="L95" s="166" t="str">
        <f t="shared" si="3"/>
        <v/>
      </c>
    </row>
    <row r="96" spans="2:16" s="117" customFormat="1" ht="20.100000000000001" customHeight="1" x14ac:dyDescent="0.2">
      <c r="B96" s="151"/>
      <c r="C96" s="152"/>
      <c r="D96" s="146"/>
      <c r="E96" s="146"/>
      <c r="F96" s="153"/>
      <c r="G96" s="153"/>
      <c r="H96" s="154" t="str">
        <f t="shared" si="2"/>
        <v/>
      </c>
      <c r="I9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6" s="165"/>
      <c r="K96" s="165"/>
      <c r="L96" s="166" t="str">
        <f t="shared" si="3"/>
        <v/>
      </c>
    </row>
    <row r="97" spans="2:12" s="117" customFormat="1" ht="20.100000000000001" customHeight="1" x14ac:dyDescent="0.2">
      <c r="B97" s="151"/>
      <c r="C97" s="152"/>
      <c r="D97" s="146"/>
      <c r="E97" s="146"/>
      <c r="F97" s="153"/>
      <c r="G97" s="153"/>
      <c r="H97" s="154" t="str">
        <f t="shared" si="2"/>
        <v/>
      </c>
      <c r="I9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7" s="165"/>
      <c r="K97" s="165"/>
      <c r="L97" s="166" t="str">
        <f t="shared" si="3"/>
        <v/>
      </c>
    </row>
    <row r="98" spans="2:12" s="117" customFormat="1" ht="20.100000000000001" customHeight="1" x14ac:dyDescent="0.2">
      <c r="B98" s="151"/>
      <c r="C98" s="152"/>
      <c r="D98" s="146"/>
      <c r="E98" s="146"/>
      <c r="F98" s="153"/>
      <c r="G98" s="153"/>
      <c r="H98" s="154" t="str">
        <f t="shared" si="2"/>
        <v/>
      </c>
      <c r="I9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8" s="165"/>
      <c r="K98" s="165"/>
      <c r="L98" s="166" t="str">
        <f t="shared" si="3"/>
        <v/>
      </c>
    </row>
    <row r="99" spans="2:12" s="117" customFormat="1" ht="20.100000000000001" customHeight="1" x14ac:dyDescent="0.2">
      <c r="B99" s="151"/>
      <c r="C99" s="152"/>
      <c r="D99" s="146"/>
      <c r="E99" s="146"/>
      <c r="F99" s="153"/>
      <c r="G99" s="153"/>
      <c r="H99" s="154" t="str">
        <f t="shared" si="2"/>
        <v/>
      </c>
      <c r="I9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99" s="165"/>
      <c r="K99" s="165"/>
      <c r="L99" s="166" t="str">
        <f t="shared" si="3"/>
        <v/>
      </c>
    </row>
    <row r="100" spans="2:12" s="117" customFormat="1" ht="20.100000000000001" customHeight="1" x14ac:dyDescent="0.2">
      <c r="B100" s="151"/>
      <c r="C100" s="152"/>
      <c r="D100" s="146"/>
      <c r="E100" s="146"/>
      <c r="F100" s="153"/>
      <c r="G100" s="153"/>
      <c r="H100" s="154" t="str">
        <f t="shared" si="2"/>
        <v/>
      </c>
      <c r="I10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0" s="165"/>
      <c r="K100" s="165"/>
      <c r="L100" s="166" t="str">
        <f t="shared" si="3"/>
        <v/>
      </c>
    </row>
    <row r="101" spans="2:12" s="117" customFormat="1" ht="20.100000000000001" customHeight="1" x14ac:dyDescent="0.2">
      <c r="B101" s="151"/>
      <c r="C101" s="152"/>
      <c r="D101" s="146"/>
      <c r="E101" s="146"/>
      <c r="F101" s="153"/>
      <c r="G101" s="153"/>
      <c r="H101" s="154" t="str">
        <f t="shared" si="2"/>
        <v/>
      </c>
      <c r="I10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1" s="165"/>
      <c r="K101" s="165"/>
      <c r="L101" s="166" t="str">
        <f t="shared" si="3"/>
        <v/>
      </c>
    </row>
    <row r="102" spans="2:12" s="117" customFormat="1" ht="20.100000000000001" customHeight="1" x14ac:dyDescent="0.2">
      <c r="B102" s="151"/>
      <c r="C102" s="152"/>
      <c r="D102" s="146"/>
      <c r="E102" s="146"/>
      <c r="F102" s="153"/>
      <c r="G102" s="153"/>
      <c r="H102" s="154" t="str">
        <f t="shared" si="2"/>
        <v/>
      </c>
      <c r="I10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2" s="165"/>
      <c r="K102" s="165"/>
      <c r="L102" s="166" t="str">
        <f t="shared" si="3"/>
        <v/>
      </c>
    </row>
    <row r="103" spans="2:12" s="117" customFormat="1" ht="20.100000000000001" customHeight="1" x14ac:dyDescent="0.2">
      <c r="B103" s="151"/>
      <c r="C103" s="152"/>
      <c r="D103" s="146"/>
      <c r="E103" s="146"/>
      <c r="F103" s="153"/>
      <c r="G103" s="153"/>
      <c r="H103" s="154" t="str">
        <f t="shared" si="2"/>
        <v/>
      </c>
      <c r="I10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3" s="165"/>
      <c r="K103" s="165"/>
      <c r="L103" s="166" t="str">
        <f t="shared" si="3"/>
        <v/>
      </c>
    </row>
    <row r="104" spans="2:12" s="117" customFormat="1" ht="20.100000000000001" customHeight="1" x14ac:dyDescent="0.2">
      <c r="B104" s="151"/>
      <c r="C104" s="152"/>
      <c r="D104" s="146"/>
      <c r="E104" s="146"/>
      <c r="F104" s="153"/>
      <c r="G104" s="153"/>
      <c r="H104" s="154" t="str">
        <f t="shared" si="2"/>
        <v/>
      </c>
      <c r="I10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4" s="165"/>
      <c r="K104" s="165"/>
      <c r="L104" s="166" t="str">
        <f t="shared" si="3"/>
        <v/>
      </c>
    </row>
    <row r="105" spans="2:12" s="117" customFormat="1" ht="20.100000000000001" customHeight="1" x14ac:dyDescent="0.2">
      <c r="B105" s="151"/>
      <c r="C105" s="152"/>
      <c r="D105" s="146"/>
      <c r="E105" s="146"/>
      <c r="F105" s="153"/>
      <c r="G105" s="153"/>
      <c r="H105" s="154" t="str">
        <f t="shared" si="2"/>
        <v/>
      </c>
      <c r="I10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5" s="165"/>
      <c r="K105" s="165"/>
      <c r="L105" s="166" t="str">
        <f t="shared" si="3"/>
        <v/>
      </c>
    </row>
    <row r="106" spans="2:12" s="117" customFormat="1" ht="20.100000000000001" customHeight="1" x14ac:dyDescent="0.2">
      <c r="B106" s="151"/>
      <c r="C106" s="152"/>
      <c r="D106" s="146"/>
      <c r="E106" s="146"/>
      <c r="F106" s="153"/>
      <c r="G106" s="153"/>
      <c r="H106" s="154" t="str">
        <f t="shared" si="2"/>
        <v/>
      </c>
      <c r="I10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6" s="165"/>
      <c r="K106" s="165"/>
      <c r="L106" s="166" t="str">
        <f t="shared" si="3"/>
        <v/>
      </c>
    </row>
    <row r="107" spans="2:12" s="117" customFormat="1" ht="20.100000000000001" customHeight="1" x14ac:dyDescent="0.2">
      <c r="B107" s="151"/>
      <c r="C107" s="152"/>
      <c r="D107" s="146"/>
      <c r="E107" s="146"/>
      <c r="F107" s="153"/>
      <c r="G107" s="153"/>
      <c r="H107" s="154" t="str">
        <f t="shared" si="2"/>
        <v/>
      </c>
      <c r="I10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7" s="165"/>
      <c r="K107" s="165"/>
      <c r="L107" s="166" t="str">
        <f t="shared" si="3"/>
        <v/>
      </c>
    </row>
    <row r="108" spans="2:12" s="117" customFormat="1" ht="20.100000000000001" customHeight="1" x14ac:dyDescent="0.2">
      <c r="B108" s="151"/>
      <c r="C108" s="152"/>
      <c r="D108" s="146"/>
      <c r="E108" s="146"/>
      <c r="F108" s="153"/>
      <c r="G108" s="153"/>
      <c r="H108" s="154" t="str">
        <f t="shared" si="2"/>
        <v/>
      </c>
      <c r="I10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8" s="165"/>
      <c r="K108" s="165"/>
      <c r="L108" s="166" t="str">
        <f t="shared" si="3"/>
        <v/>
      </c>
    </row>
    <row r="109" spans="2:12" s="117" customFormat="1" ht="20.100000000000001" customHeight="1" x14ac:dyDescent="0.2">
      <c r="B109" s="151"/>
      <c r="C109" s="152"/>
      <c r="D109" s="146"/>
      <c r="E109" s="146"/>
      <c r="F109" s="153"/>
      <c r="G109" s="153"/>
      <c r="H109" s="154" t="str">
        <f t="shared" si="2"/>
        <v/>
      </c>
      <c r="I10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09" s="165"/>
      <c r="K109" s="165"/>
      <c r="L109" s="166" t="str">
        <f t="shared" si="3"/>
        <v/>
      </c>
    </row>
    <row r="110" spans="2:12" s="117" customFormat="1" ht="20.100000000000001" customHeight="1" x14ac:dyDescent="0.2">
      <c r="B110" s="151"/>
      <c r="C110" s="152"/>
      <c r="D110" s="146"/>
      <c r="E110" s="146"/>
      <c r="F110" s="153"/>
      <c r="G110" s="153"/>
      <c r="H110" s="154" t="str">
        <f t="shared" si="2"/>
        <v/>
      </c>
      <c r="I11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0" s="165"/>
      <c r="K110" s="165"/>
      <c r="L110" s="166" t="str">
        <f t="shared" si="3"/>
        <v/>
      </c>
    </row>
    <row r="111" spans="2:12" s="117" customFormat="1" ht="20.100000000000001" customHeight="1" x14ac:dyDescent="0.2">
      <c r="B111" s="151"/>
      <c r="C111" s="152"/>
      <c r="D111" s="146"/>
      <c r="E111" s="146"/>
      <c r="F111" s="153"/>
      <c r="G111" s="153"/>
      <c r="H111" s="154" t="str">
        <f t="shared" si="2"/>
        <v/>
      </c>
      <c r="I11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1" s="165"/>
      <c r="K111" s="165"/>
      <c r="L111" s="166" t="str">
        <f t="shared" si="3"/>
        <v/>
      </c>
    </row>
    <row r="112" spans="2:12" s="117" customFormat="1" ht="20.100000000000001" customHeight="1" x14ac:dyDescent="0.2">
      <c r="B112" s="151"/>
      <c r="C112" s="152"/>
      <c r="D112" s="146"/>
      <c r="E112" s="146"/>
      <c r="F112" s="153"/>
      <c r="G112" s="153"/>
      <c r="H112" s="154" t="str">
        <f t="shared" si="2"/>
        <v/>
      </c>
      <c r="I11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2" s="165"/>
      <c r="K112" s="165"/>
      <c r="L112" s="166" t="str">
        <f t="shared" si="3"/>
        <v/>
      </c>
    </row>
    <row r="113" spans="2:12" s="117" customFormat="1" ht="20.100000000000001" customHeight="1" x14ac:dyDescent="0.2">
      <c r="B113" s="151"/>
      <c r="C113" s="152"/>
      <c r="D113" s="146"/>
      <c r="E113" s="146"/>
      <c r="F113" s="153"/>
      <c r="G113" s="153"/>
      <c r="H113" s="154" t="str">
        <f t="shared" si="2"/>
        <v/>
      </c>
      <c r="I11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3" s="165"/>
      <c r="K113" s="165"/>
      <c r="L113" s="166" t="str">
        <f t="shared" si="3"/>
        <v/>
      </c>
    </row>
    <row r="114" spans="2:12" s="117" customFormat="1" ht="20.100000000000001" customHeight="1" x14ac:dyDescent="0.2">
      <c r="B114" s="151"/>
      <c r="C114" s="152"/>
      <c r="D114" s="146"/>
      <c r="E114" s="146"/>
      <c r="F114" s="153"/>
      <c r="G114" s="153"/>
      <c r="H114" s="154" t="str">
        <f t="shared" si="2"/>
        <v/>
      </c>
      <c r="I11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4" s="165"/>
      <c r="K114" s="165"/>
      <c r="L114" s="166" t="str">
        <f t="shared" si="3"/>
        <v/>
      </c>
    </row>
    <row r="115" spans="2:12" s="117" customFormat="1" ht="20.100000000000001" customHeight="1" x14ac:dyDescent="0.2">
      <c r="B115" s="151"/>
      <c r="C115" s="152"/>
      <c r="D115" s="146"/>
      <c r="E115" s="146"/>
      <c r="F115" s="153"/>
      <c r="G115" s="153"/>
      <c r="H115" s="154" t="str">
        <f t="shared" si="2"/>
        <v/>
      </c>
      <c r="I11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5" s="165"/>
      <c r="K115" s="165"/>
      <c r="L115" s="166" t="str">
        <f t="shared" si="3"/>
        <v/>
      </c>
    </row>
    <row r="116" spans="2:12" s="117" customFormat="1" ht="20.100000000000001" customHeight="1" x14ac:dyDescent="0.2">
      <c r="B116" s="151"/>
      <c r="C116" s="152"/>
      <c r="D116" s="146"/>
      <c r="E116" s="146"/>
      <c r="F116" s="153"/>
      <c r="G116" s="153"/>
      <c r="H116" s="154" t="str">
        <f t="shared" si="2"/>
        <v/>
      </c>
      <c r="I11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6" s="165"/>
      <c r="K116" s="165"/>
      <c r="L116" s="166" t="str">
        <f t="shared" si="3"/>
        <v/>
      </c>
    </row>
    <row r="117" spans="2:12" s="117" customFormat="1" ht="20.100000000000001" customHeight="1" x14ac:dyDescent="0.2">
      <c r="B117" s="151"/>
      <c r="C117" s="152"/>
      <c r="D117" s="146"/>
      <c r="E117" s="146"/>
      <c r="F117" s="153"/>
      <c r="G117" s="153"/>
      <c r="H117" s="154" t="str">
        <f t="shared" si="2"/>
        <v/>
      </c>
      <c r="I11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7" s="165"/>
      <c r="K117" s="165"/>
      <c r="L117" s="166" t="str">
        <f t="shared" si="3"/>
        <v/>
      </c>
    </row>
    <row r="118" spans="2:12" s="117" customFormat="1" ht="20.100000000000001" customHeight="1" x14ac:dyDescent="0.2">
      <c r="B118" s="151"/>
      <c r="C118" s="152"/>
      <c r="D118" s="146"/>
      <c r="E118" s="146"/>
      <c r="F118" s="153"/>
      <c r="G118" s="153"/>
      <c r="H118" s="154" t="str">
        <f t="shared" si="2"/>
        <v/>
      </c>
      <c r="I11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8" s="165"/>
      <c r="K118" s="165"/>
      <c r="L118" s="166" t="str">
        <f t="shared" si="3"/>
        <v/>
      </c>
    </row>
    <row r="119" spans="2:12" s="117" customFormat="1" ht="20.100000000000001" customHeight="1" x14ac:dyDescent="0.2">
      <c r="B119" s="151"/>
      <c r="C119" s="152"/>
      <c r="D119" s="146"/>
      <c r="E119" s="146"/>
      <c r="F119" s="153"/>
      <c r="G119" s="153"/>
      <c r="H119" s="154" t="str">
        <f t="shared" si="2"/>
        <v/>
      </c>
      <c r="I11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19" s="165"/>
      <c r="K119" s="165"/>
      <c r="L119" s="166" t="str">
        <f t="shared" si="3"/>
        <v/>
      </c>
    </row>
    <row r="120" spans="2:12" s="117" customFormat="1" ht="20.100000000000001" customHeight="1" x14ac:dyDescent="0.2">
      <c r="B120" s="151"/>
      <c r="C120" s="152"/>
      <c r="D120" s="146"/>
      <c r="E120" s="146"/>
      <c r="F120" s="153"/>
      <c r="G120" s="153"/>
      <c r="H120" s="154" t="str">
        <f t="shared" si="2"/>
        <v/>
      </c>
      <c r="I12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0" s="165"/>
      <c r="K120" s="165"/>
      <c r="L120" s="166" t="str">
        <f t="shared" si="3"/>
        <v/>
      </c>
    </row>
    <row r="121" spans="2:12" s="117" customFormat="1" ht="20.100000000000001" customHeight="1" x14ac:dyDescent="0.2">
      <c r="B121" s="151"/>
      <c r="C121" s="152"/>
      <c r="D121" s="146"/>
      <c r="E121" s="146"/>
      <c r="F121" s="153"/>
      <c r="G121" s="153"/>
      <c r="H121" s="154" t="str">
        <f t="shared" si="2"/>
        <v/>
      </c>
      <c r="I12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1" s="165"/>
      <c r="K121" s="165"/>
      <c r="L121" s="166" t="str">
        <f t="shared" si="3"/>
        <v/>
      </c>
    </row>
    <row r="122" spans="2:12" s="117" customFormat="1" ht="20.100000000000001" customHeight="1" x14ac:dyDescent="0.2">
      <c r="B122" s="151"/>
      <c r="C122" s="152"/>
      <c r="D122" s="146"/>
      <c r="E122" s="146"/>
      <c r="F122" s="153"/>
      <c r="G122" s="153"/>
      <c r="H122" s="154" t="str">
        <f t="shared" si="2"/>
        <v/>
      </c>
      <c r="I12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2" s="165"/>
      <c r="K122" s="165"/>
      <c r="L122" s="166" t="str">
        <f t="shared" si="3"/>
        <v/>
      </c>
    </row>
    <row r="123" spans="2:12" s="117" customFormat="1" ht="20.100000000000001" customHeight="1" x14ac:dyDescent="0.2">
      <c r="B123" s="151"/>
      <c r="C123" s="152"/>
      <c r="D123" s="146"/>
      <c r="E123" s="146"/>
      <c r="F123" s="153"/>
      <c r="G123" s="153"/>
      <c r="H123" s="154" t="str">
        <f t="shared" si="2"/>
        <v/>
      </c>
      <c r="I12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3" s="165"/>
      <c r="K123" s="165"/>
      <c r="L123" s="166" t="str">
        <f t="shared" si="3"/>
        <v/>
      </c>
    </row>
    <row r="124" spans="2:12" s="117" customFormat="1" ht="20.100000000000001" customHeight="1" x14ac:dyDescent="0.2">
      <c r="B124" s="151"/>
      <c r="C124" s="152"/>
      <c r="D124" s="146"/>
      <c r="E124" s="146"/>
      <c r="F124" s="153"/>
      <c r="G124" s="153"/>
      <c r="H124" s="154" t="str">
        <f t="shared" si="2"/>
        <v/>
      </c>
      <c r="I12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4" s="165"/>
      <c r="K124" s="165"/>
      <c r="L124" s="166" t="str">
        <f t="shared" si="3"/>
        <v/>
      </c>
    </row>
    <row r="125" spans="2:12" s="117" customFormat="1" ht="20.100000000000001" customHeight="1" x14ac:dyDescent="0.2">
      <c r="B125" s="151"/>
      <c r="C125" s="152"/>
      <c r="D125" s="146"/>
      <c r="E125" s="146"/>
      <c r="F125" s="153"/>
      <c r="G125" s="153"/>
      <c r="H125" s="154" t="str">
        <f t="shared" si="2"/>
        <v/>
      </c>
      <c r="I12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5" s="165"/>
      <c r="K125" s="165"/>
      <c r="L125" s="166" t="str">
        <f t="shared" si="3"/>
        <v/>
      </c>
    </row>
    <row r="126" spans="2:12" s="117" customFormat="1" ht="20.100000000000001" customHeight="1" x14ac:dyDescent="0.2">
      <c r="B126" s="151"/>
      <c r="C126" s="152"/>
      <c r="D126" s="146"/>
      <c r="E126" s="146"/>
      <c r="F126" s="153"/>
      <c r="G126" s="153"/>
      <c r="H126" s="154" t="str">
        <f t="shared" si="2"/>
        <v/>
      </c>
      <c r="I12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6" s="165"/>
      <c r="K126" s="165"/>
      <c r="L126" s="166" t="str">
        <f t="shared" si="3"/>
        <v/>
      </c>
    </row>
    <row r="127" spans="2:12" s="117" customFormat="1" ht="20.100000000000001" customHeight="1" x14ac:dyDescent="0.2">
      <c r="B127" s="151"/>
      <c r="C127" s="152"/>
      <c r="D127" s="146"/>
      <c r="E127" s="146"/>
      <c r="F127" s="153"/>
      <c r="G127" s="153"/>
      <c r="H127" s="154" t="str">
        <f t="shared" si="2"/>
        <v/>
      </c>
      <c r="I12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7" s="165"/>
      <c r="K127" s="165"/>
      <c r="L127" s="166" t="str">
        <f t="shared" si="3"/>
        <v/>
      </c>
    </row>
    <row r="128" spans="2:12" s="117" customFormat="1" ht="20.100000000000001" customHeight="1" x14ac:dyDescent="0.2">
      <c r="B128" s="151"/>
      <c r="C128" s="152"/>
      <c r="D128" s="146"/>
      <c r="E128" s="146"/>
      <c r="F128" s="153"/>
      <c r="G128" s="153"/>
      <c r="H128" s="154" t="str">
        <f t="shared" si="2"/>
        <v/>
      </c>
      <c r="I12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8" s="165"/>
      <c r="K128" s="165"/>
      <c r="L128" s="166" t="str">
        <f t="shared" si="3"/>
        <v/>
      </c>
    </row>
    <row r="129" spans="2:12" s="117" customFormat="1" ht="20.100000000000001" customHeight="1" x14ac:dyDescent="0.2">
      <c r="B129" s="151"/>
      <c r="C129" s="152"/>
      <c r="D129" s="146"/>
      <c r="E129" s="146"/>
      <c r="F129" s="153"/>
      <c r="G129" s="153"/>
      <c r="H129" s="154" t="str">
        <f t="shared" si="2"/>
        <v/>
      </c>
      <c r="I12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29" s="165"/>
      <c r="K129" s="165"/>
      <c r="L129" s="166" t="str">
        <f t="shared" si="3"/>
        <v/>
      </c>
    </row>
    <row r="130" spans="2:12" s="117" customFormat="1" ht="20.100000000000001" customHeight="1" x14ac:dyDescent="0.2">
      <c r="B130" s="151"/>
      <c r="C130" s="152"/>
      <c r="D130" s="146"/>
      <c r="E130" s="146"/>
      <c r="F130" s="153"/>
      <c r="G130" s="153"/>
      <c r="H130" s="154" t="str">
        <f t="shared" si="2"/>
        <v/>
      </c>
      <c r="I13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0" s="165"/>
      <c r="K130" s="165"/>
      <c r="L130" s="166" t="str">
        <f t="shared" si="3"/>
        <v/>
      </c>
    </row>
    <row r="131" spans="2:12" s="117" customFormat="1" ht="20.100000000000001" customHeight="1" x14ac:dyDescent="0.2">
      <c r="B131" s="151"/>
      <c r="C131" s="152"/>
      <c r="D131" s="146"/>
      <c r="E131" s="146"/>
      <c r="F131" s="153"/>
      <c r="G131" s="153"/>
      <c r="H131" s="154" t="str">
        <f t="shared" si="2"/>
        <v/>
      </c>
      <c r="I13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1" s="165"/>
      <c r="K131" s="165"/>
      <c r="L131" s="166" t="str">
        <f t="shared" si="3"/>
        <v/>
      </c>
    </row>
    <row r="132" spans="2:12" s="117" customFormat="1" ht="20.100000000000001" customHeight="1" x14ac:dyDescent="0.2">
      <c r="B132" s="151"/>
      <c r="C132" s="152"/>
      <c r="D132" s="146"/>
      <c r="E132" s="146"/>
      <c r="F132" s="153"/>
      <c r="G132" s="153"/>
      <c r="H132" s="154" t="str">
        <f t="shared" si="2"/>
        <v/>
      </c>
      <c r="I13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2" s="165"/>
      <c r="K132" s="165"/>
      <c r="L132" s="166" t="str">
        <f t="shared" si="3"/>
        <v/>
      </c>
    </row>
    <row r="133" spans="2:12" s="117" customFormat="1" ht="20.100000000000001" customHeight="1" x14ac:dyDescent="0.2">
      <c r="B133" s="151"/>
      <c r="C133" s="152"/>
      <c r="D133" s="146"/>
      <c r="E133" s="146"/>
      <c r="F133" s="153"/>
      <c r="G133" s="153"/>
      <c r="H133" s="154" t="str">
        <f t="shared" ref="H133:H196" si="4">IFERROR(G133/F133,"")</f>
        <v/>
      </c>
      <c r="I13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3" s="165"/>
      <c r="K133" s="165"/>
      <c r="L133" s="166" t="str">
        <f t="shared" ref="L133:L196" si="5">IFERROR(K133/J133,"")</f>
        <v/>
      </c>
    </row>
    <row r="134" spans="2:12" s="117" customFormat="1" ht="20.100000000000001" customHeight="1" x14ac:dyDescent="0.2">
      <c r="B134" s="151"/>
      <c r="C134" s="152"/>
      <c r="D134" s="146"/>
      <c r="E134" s="146"/>
      <c r="F134" s="153"/>
      <c r="G134" s="153"/>
      <c r="H134" s="154" t="str">
        <f t="shared" si="4"/>
        <v/>
      </c>
      <c r="I13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4" s="165"/>
      <c r="K134" s="165"/>
      <c r="L134" s="166" t="str">
        <f t="shared" si="5"/>
        <v/>
      </c>
    </row>
    <row r="135" spans="2:12" s="117" customFormat="1" ht="20.100000000000001" customHeight="1" x14ac:dyDescent="0.2">
      <c r="B135" s="151"/>
      <c r="C135" s="152"/>
      <c r="D135" s="146"/>
      <c r="E135" s="146"/>
      <c r="F135" s="153"/>
      <c r="G135" s="153"/>
      <c r="H135" s="154" t="str">
        <f t="shared" si="4"/>
        <v/>
      </c>
      <c r="I13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5" s="165"/>
      <c r="K135" s="165"/>
      <c r="L135" s="166" t="str">
        <f t="shared" si="5"/>
        <v/>
      </c>
    </row>
    <row r="136" spans="2:12" s="117" customFormat="1" ht="20.100000000000001" customHeight="1" x14ac:dyDescent="0.2">
      <c r="B136" s="151"/>
      <c r="C136" s="152"/>
      <c r="D136" s="146"/>
      <c r="E136" s="146"/>
      <c r="F136" s="153"/>
      <c r="G136" s="153"/>
      <c r="H136" s="154" t="str">
        <f t="shared" si="4"/>
        <v/>
      </c>
      <c r="I13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6" s="165"/>
      <c r="K136" s="165"/>
      <c r="L136" s="166" t="str">
        <f t="shared" si="5"/>
        <v/>
      </c>
    </row>
    <row r="137" spans="2:12" s="117" customFormat="1" ht="20.100000000000001" customHeight="1" x14ac:dyDescent="0.2">
      <c r="B137" s="151"/>
      <c r="C137" s="152"/>
      <c r="D137" s="146"/>
      <c r="E137" s="146"/>
      <c r="F137" s="153"/>
      <c r="G137" s="153"/>
      <c r="H137" s="154" t="str">
        <f t="shared" si="4"/>
        <v/>
      </c>
      <c r="I13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7" s="165"/>
      <c r="K137" s="165"/>
      <c r="L137" s="166" t="str">
        <f t="shared" si="5"/>
        <v/>
      </c>
    </row>
    <row r="138" spans="2:12" s="117" customFormat="1" ht="20.100000000000001" customHeight="1" x14ac:dyDescent="0.2">
      <c r="B138" s="151"/>
      <c r="C138" s="152"/>
      <c r="D138" s="146"/>
      <c r="E138" s="146"/>
      <c r="F138" s="153"/>
      <c r="G138" s="153"/>
      <c r="H138" s="154" t="str">
        <f t="shared" si="4"/>
        <v/>
      </c>
      <c r="I13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8" s="165"/>
      <c r="K138" s="165"/>
      <c r="L138" s="166" t="str">
        <f t="shared" si="5"/>
        <v/>
      </c>
    </row>
    <row r="139" spans="2:12" s="117" customFormat="1" ht="20.100000000000001" customHeight="1" x14ac:dyDescent="0.2">
      <c r="B139" s="151"/>
      <c r="C139" s="152"/>
      <c r="D139" s="146"/>
      <c r="E139" s="146"/>
      <c r="F139" s="153"/>
      <c r="G139" s="153"/>
      <c r="H139" s="154" t="str">
        <f t="shared" si="4"/>
        <v/>
      </c>
      <c r="I13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39" s="165"/>
      <c r="K139" s="165"/>
      <c r="L139" s="166" t="str">
        <f t="shared" si="5"/>
        <v/>
      </c>
    </row>
    <row r="140" spans="2:12" s="117" customFormat="1" ht="20.100000000000001" customHeight="1" x14ac:dyDescent="0.2">
      <c r="B140" s="151"/>
      <c r="C140" s="152"/>
      <c r="D140" s="146"/>
      <c r="E140" s="146"/>
      <c r="F140" s="153"/>
      <c r="G140" s="153"/>
      <c r="H140" s="154" t="str">
        <f t="shared" si="4"/>
        <v/>
      </c>
      <c r="I14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0" s="165"/>
      <c r="K140" s="165"/>
      <c r="L140" s="166" t="str">
        <f t="shared" si="5"/>
        <v/>
      </c>
    </row>
    <row r="141" spans="2:12" s="117" customFormat="1" ht="20.100000000000001" customHeight="1" x14ac:dyDescent="0.2">
      <c r="B141" s="151"/>
      <c r="C141" s="152"/>
      <c r="D141" s="146"/>
      <c r="E141" s="146"/>
      <c r="F141" s="153"/>
      <c r="G141" s="153"/>
      <c r="H141" s="154" t="str">
        <f t="shared" si="4"/>
        <v/>
      </c>
      <c r="I14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1" s="165"/>
      <c r="K141" s="165"/>
      <c r="L141" s="166" t="str">
        <f t="shared" si="5"/>
        <v/>
      </c>
    </row>
    <row r="142" spans="2:12" s="117" customFormat="1" ht="20.100000000000001" customHeight="1" x14ac:dyDescent="0.2">
      <c r="B142" s="151"/>
      <c r="C142" s="152"/>
      <c r="D142" s="146"/>
      <c r="E142" s="146"/>
      <c r="F142" s="153"/>
      <c r="G142" s="153"/>
      <c r="H142" s="154" t="str">
        <f t="shared" si="4"/>
        <v/>
      </c>
      <c r="I14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2" s="165"/>
      <c r="K142" s="165"/>
      <c r="L142" s="166" t="str">
        <f t="shared" si="5"/>
        <v/>
      </c>
    </row>
    <row r="143" spans="2:12" s="117" customFormat="1" ht="20.100000000000001" customHeight="1" x14ac:dyDescent="0.2">
      <c r="B143" s="151"/>
      <c r="C143" s="152"/>
      <c r="D143" s="146"/>
      <c r="E143" s="146"/>
      <c r="F143" s="153"/>
      <c r="G143" s="153"/>
      <c r="H143" s="154" t="str">
        <f t="shared" si="4"/>
        <v/>
      </c>
      <c r="I14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3" s="165"/>
      <c r="K143" s="165"/>
      <c r="L143" s="166" t="str">
        <f t="shared" si="5"/>
        <v/>
      </c>
    </row>
    <row r="144" spans="2:12" s="117" customFormat="1" ht="20.100000000000001" customHeight="1" x14ac:dyDescent="0.2">
      <c r="B144" s="151"/>
      <c r="C144" s="152"/>
      <c r="D144" s="146"/>
      <c r="E144" s="146"/>
      <c r="F144" s="153"/>
      <c r="G144" s="153"/>
      <c r="H144" s="154" t="str">
        <f t="shared" si="4"/>
        <v/>
      </c>
      <c r="I14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4" s="165"/>
      <c r="K144" s="165"/>
      <c r="L144" s="166" t="str">
        <f t="shared" si="5"/>
        <v/>
      </c>
    </row>
    <row r="145" spans="2:12" s="117" customFormat="1" ht="20.100000000000001" customHeight="1" x14ac:dyDescent="0.2">
      <c r="B145" s="151"/>
      <c r="C145" s="152"/>
      <c r="D145" s="146"/>
      <c r="E145" s="146"/>
      <c r="F145" s="153"/>
      <c r="G145" s="153"/>
      <c r="H145" s="154" t="str">
        <f t="shared" si="4"/>
        <v/>
      </c>
      <c r="I14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5" s="165"/>
      <c r="K145" s="165"/>
      <c r="L145" s="166" t="str">
        <f t="shared" si="5"/>
        <v/>
      </c>
    </row>
    <row r="146" spans="2:12" s="117" customFormat="1" ht="20.100000000000001" customHeight="1" x14ac:dyDescent="0.2">
      <c r="B146" s="151"/>
      <c r="C146" s="152"/>
      <c r="D146" s="146"/>
      <c r="E146" s="146"/>
      <c r="F146" s="153"/>
      <c r="G146" s="153"/>
      <c r="H146" s="154" t="str">
        <f t="shared" si="4"/>
        <v/>
      </c>
      <c r="I14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6" s="165"/>
      <c r="K146" s="165"/>
      <c r="L146" s="166" t="str">
        <f t="shared" si="5"/>
        <v/>
      </c>
    </row>
    <row r="147" spans="2:12" s="117" customFormat="1" ht="20.100000000000001" customHeight="1" x14ac:dyDescent="0.2">
      <c r="B147" s="151"/>
      <c r="C147" s="152"/>
      <c r="D147" s="146"/>
      <c r="E147" s="146"/>
      <c r="F147" s="153"/>
      <c r="G147" s="153"/>
      <c r="H147" s="154" t="str">
        <f t="shared" si="4"/>
        <v/>
      </c>
      <c r="I14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7" s="165"/>
      <c r="K147" s="165"/>
      <c r="L147" s="166" t="str">
        <f t="shared" si="5"/>
        <v/>
      </c>
    </row>
    <row r="148" spans="2:12" s="117" customFormat="1" ht="20.100000000000001" customHeight="1" x14ac:dyDescent="0.2">
      <c r="B148" s="151"/>
      <c r="C148" s="152"/>
      <c r="D148" s="146"/>
      <c r="E148" s="146"/>
      <c r="F148" s="153"/>
      <c r="G148" s="153"/>
      <c r="H148" s="154" t="str">
        <f t="shared" si="4"/>
        <v/>
      </c>
      <c r="I14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8" s="165"/>
      <c r="K148" s="165"/>
      <c r="L148" s="166" t="str">
        <f t="shared" si="5"/>
        <v/>
      </c>
    </row>
    <row r="149" spans="2:12" s="117" customFormat="1" ht="20.100000000000001" customHeight="1" x14ac:dyDescent="0.2">
      <c r="B149" s="151"/>
      <c r="C149" s="152"/>
      <c r="D149" s="146"/>
      <c r="E149" s="146"/>
      <c r="F149" s="153"/>
      <c r="G149" s="153"/>
      <c r="H149" s="154" t="str">
        <f t="shared" si="4"/>
        <v/>
      </c>
      <c r="I14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49" s="165"/>
      <c r="K149" s="165"/>
      <c r="L149" s="166" t="str">
        <f t="shared" si="5"/>
        <v/>
      </c>
    </row>
    <row r="150" spans="2:12" s="117" customFormat="1" ht="20.100000000000001" customHeight="1" x14ac:dyDescent="0.2">
      <c r="B150" s="151"/>
      <c r="C150" s="152"/>
      <c r="D150" s="146"/>
      <c r="E150" s="146"/>
      <c r="F150" s="153"/>
      <c r="G150" s="153"/>
      <c r="H150" s="154" t="str">
        <f t="shared" si="4"/>
        <v/>
      </c>
      <c r="I15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0" s="165"/>
      <c r="K150" s="165"/>
      <c r="L150" s="166" t="str">
        <f t="shared" si="5"/>
        <v/>
      </c>
    </row>
    <row r="151" spans="2:12" s="117" customFormat="1" ht="20.100000000000001" customHeight="1" x14ac:dyDescent="0.2">
      <c r="B151" s="151"/>
      <c r="C151" s="152"/>
      <c r="D151" s="146"/>
      <c r="E151" s="146"/>
      <c r="F151" s="153"/>
      <c r="G151" s="153"/>
      <c r="H151" s="154" t="str">
        <f t="shared" si="4"/>
        <v/>
      </c>
      <c r="I15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1" s="165"/>
      <c r="K151" s="165"/>
      <c r="L151" s="166" t="str">
        <f t="shared" si="5"/>
        <v/>
      </c>
    </row>
    <row r="152" spans="2:12" s="117" customFormat="1" ht="20.100000000000001" customHeight="1" x14ac:dyDescent="0.2">
      <c r="B152" s="151"/>
      <c r="C152" s="152"/>
      <c r="D152" s="146"/>
      <c r="E152" s="146"/>
      <c r="F152" s="153"/>
      <c r="G152" s="153"/>
      <c r="H152" s="154" t="str">
        <f t="shared" si="4"/>
        <v/>
      </c>
      <c r="I15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2" s="165"/>
      <c r="K152" s="165"/>
      <c r="L152" s="166" t="str">
        <f t="shared" si="5"/>
        <v/>
      </c>
    </row>
    <row r="153" spans="2:12" s="117" customFormat="1" ht="20.100000000000001" customHeight="1" x14ac:dyDescent="0.2">
      <c r="B153" s="151"/>
      <c r="C153" s="152"/>
      <c r="D153" s="146"/>
      <c r="E153" s="146"/>
      <c r="F153" s="153"/>
      <c r="G153" s="153"/>
      <c r="H153" s="154" t="str">
        <f t="shared" si="4"/>
        <v/>
      </c>
      <c r="I15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3" s="165"/>
      <c r="K153" s="165"/>
      <c r="L153" s="166" t="str">
        <f t="shared" si="5"/>
        <v/>
      </c>
    </row>
    <row r="154" spans="2:12" s="117" customFormat="1" ht="20.100000000000001" customHeight="1" x14ac:dyDescent="0.2">
      <c r="B154" s="151"/>
      <c r="C154" s="152"/>
      <c r="D154" s="146"/>
      <c r="E154" s="146"/>
      <c r="F154" s="153"/>
      <c r="G154" s="153"/>
      <c r="H154" s="154" t="str">
        <f t="shared" si="4"/>
        <v/>
      </c>
      <c r="I15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4" s="165"/>
      <c r="K154" s="165"/>
      <c r="L154" s="166" t="str">
        <f t="shared" si="5"/>
        <v/>
      </c>
    </row>
    <row r="155" spans="2:12" s="117" customFormat="1" ht="20.100000000000001" customHeight="1" x14ac:dyDescent="0.2">
      <c r="B155" s="151"/>
      <c r="C155" s="152"/>
      <c r="D155" s="146"/>
      <c r="E155" s="146"/>
      <c r="F155" s="153"/>
      <c r="G155" s="153"/>
      <c r="H155" s="154" t="str">
        <f t="shared" si="4"/>
        <v/>
      </c>
      <c r="I15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5" s="165"/>
      <c r="K155" s="165"/>
      <c r="L155" s="166" t="str">
        <f t="shared" si="5"/>
        <v/>
      </c>
    </row>
    <row r="156" spans="2:12" s="117" customFormat="1" ht="20.100000000000001" customHeight="1" x14ac:dyDescent="0.2">
      <c r="B156" s="151"/>
      <c r="C156" s="152"/>
      <c r="D156" s="146"/>
      <c r="E156" s="146"/>
      <c r="F156" s="153"/>
      <c r="G156" s="153"/>
      <c r="H156" s="154" t="str">
        <f t="shared" si="4"/>
        <v/>
      </c>
      <c r="I15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6" s="165"/>
      <c r="K156" s="165"/>
      <c r="L156" s="166" t="str">
        <f t="shared" si="5"/>
        <v/>
      </c>
    </row>
    <row r="157" spans="2:12" s="117" customFormat="1" ht="20.100000000000001" customHeight="1" x14ac:dyDescent="0.2">
      <c r="B157" s="151"/>
      <c r="C157" s="152"/>
      <c r="D157" s="146"/>
      <c r="E157" s="146"/>
      <c r="F157" s="153"/>
      <c r="G157" s="153"/>
      <c r="H157" s="154" t="str">
        <f t="shared" si="4"/>
        <v/>
      </c>
      <c r="I15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7" s="165"/>
      <c r="K157" s="165"/>
      <c r="L157" s="166" t="str">
        <f t="shared" si="5"/>
        <v/>
      </c>
    </row>
    <row r="158" spans="2:12" s="117" customFormat="1" ht="20.100000000000001" customHeight="1" x14ac:dyDescent="0.2">
      <c r="B158" s="151"/>
      <c r="C158" s="152"/>
      <c r="D158" s="146"/>
      <c r="E158" s="146"/>
      <c r="F158" s="153"/>
      <c r="G158" s="153"/>
      <c r="H158" s="154" t="str">
        <f t="shared" si="4"/>
        <v/>
      </c>
      <c r="I15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8" s="165"/>
      <c r="K158" s="165"/>
      <c r="L158" s="166" t="str">
        <f t="shared" si="5"/>
        <v/>
      </c>
    </row>
    <row r="159" spans="2:12" s="117" customFormat="1" ht="20.100000000000001" customHeight="1" x14ac:dyDescent="0.2">
      <c r="B159" s="151"/>
      <c r="C159" s="152"/>
      <c r="D159" s="146"/>
      <c r="E159" s="146"/>
      <c r="F159" s="153"/>
      <c r="G159" s="153"/>
      <c r="H159" s="154" t="str">
        <f t="shared" si="4"/>
        <v/>
      </c>
      <c r="I15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59" s="165"/>
      <c r="K159" s="165"/>
      <c r="L159" s="166" t="str">
        <f t="shared" si="5"/>
        <v/>
      </c>
    </row>
    <row r="160" spans="2:12" s="117" customFormat="1" ht="20.100000000000001" customHeight="1" x14ac:dyDescent="0.2">
      <c r="B160" s="151"/>
      <c r="C160" s="152"/>
      <c r="D160" s="146"/>
      <c r="E160" s="146"/>
      <c r="F160" s="153"/>
      <c r="G160" s="153"/>
      <c r="H160" s="154" t="str">
        <f t="shared" si="4"/>
        <v/>
      </c>
      <c r="I16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0" s="165"/>
      <c r="K160" s="165"/>
      <c r="L160" s="166" t="str">
        <f t="shared" si="5"/>
        <v/>
      </c>
    </row>
    <row r="161" spans="2:12" s="117" customFormat="1" ht="20.100000000000001" customHeight="1" x14ac:dyDescent="0.2">
      <c r="B161" s="151"/>
      <c r="C161" s="152"/>
      <c r="D161" s="146"/>
      <c r="E161" s="146"/>
      <c r="F161" s="153"/>
      <c r="G161" s="153"/>
      <c r="H161" s="154" t="str">
        <f t="shared" si="4"/>
        <v/>
      </c>
      <c r="I16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1" s="165"/>
      <c r="K161" s="165"/>
      <c r="L161" s="166" t="str">
        <f t="shared" si="5"/>
        <v/>
      </c>
    </row>
    <row r="162" spans="2:12" s="117" customFormat="1" ht="20.100000000000001" customHeight="1" x14ac:dyDescent="0.2">
      <c r="B162" s="151"/>
      <c r="C162" s="152"/>
      <c r="D162" s="146"/>
      <c r="E162" s="146"/>
      <c r="F162" s="153"/>
      <c r="G162" s="153"/>
      <c r="H162" s="154" t="str">
        <f t="shared" si="4"/>
        <v/>
      </c>
      <c r="I16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2" s="165"/>
      <c r="K162" s="165"/>
      <c r="L162" s="166" t="str">
        <f t="shared" si="5"/>
        <v/>
      </c>
    </row>
    <row r="163" spans="2:12" s="117" customFormat="1" ht="20.100000000000001" customHeight="1" x14ac:dyDescent="0.2">
      <c r="B163" s="151"/>
      <c r="C163" s="152"/>
      <c r="D163" s="146"/>
      <c r="E163" s="146"/>
      <c r="F163" s="153"/>
      <c r="G163" s="153"/>
      <c r="H163" s="154" t="str">
        <f t="shared" si="4"/>
        <v/>
      </c>
      <c r="I16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3" s="165"/>
      <c r="K163" s="165"/>
      <c r="L163" s="166" t="str">
        <f t="shared" si="5"/>
        <v/>
      </c>
    </row>
    <row r="164" spans="2:12" s="117" customFormat="1" ht="20.100000000000001" customHeight="1" x14ac:dyDescent="0.2">
      <c r="B164" s="151"/>
      <c r="C164" s="152"/>
      <c r="D164" s="146"/>
      <c r="E164" s="146"/>
      <c r="F164" s="153"/>
      <c r="G164" s="153"/>
      <c r="H164" s="154" t="str">
        <f t="shared" si="4"/>
        <v/>
      </c>
      <c r="I16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4" s="165"/>
      <c r="K164" s="165"/>
      <c r="L164" s="166" t="str">
        <f t="shared" si="5"/>
        <v/>
      </c>
    </row>
    <row r="165" spans="2:12" s="117" customFormat="1" ht="20.100000000000001" customHeight="1" x14ac:dyDescent="0.2">
      <c r="B165" s="151"/>
      <c r="C165" s="152"/>
      <c r="D165" s="146"/>
      <c r="E165" s="146"/>
      <c r="F165" s="153"/>
      <c r="G165" s="153"/>
      <c r="H165" s="154" t="str">
        <f t="shared" si="4"/>
        <v/>
      </c>
      <c r="I16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5" s="165"/>
      <c r="K165" s="165"/>
      <c r="L165" s="166" t="str">
        <f t="shared" si="5"/>
        <v/>
      </c>
    </row>
    <row r="166" spans="2:12" s="117" customFormat="1" ht="20.100000000000001" customHeight="1" x14ac:dyDescent="0.2">
      <c r="B166" s="151"/>
      <c r="C166" s="152"/>
      <c r="D166" s="146"/>
      <c r="E166" s="146"/>
      <c r="F166" s="153"/>
      <c r="G166" s="153"/>
      <c r="H166" s="154" t="str">
        <f t="shared" si="4"/>
        <v/>
      </c>
      <c r="I16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6" s="165"/>
      <c r="K166" s="165"/>
      <c r="L166" s="166" t="str">
        <f t="shared" si="5"/>
        <v/>
      </c>
    </row>
    <row r="167" spans="2:12" s="117" customFormat="1" ht="20.100000000000001" customHeight="1" x14ac:dyDescent="0.2">
      <c r="B167" s="151"/>
      <c r="C167" s="152"/>
      <c r="D167" s="146"/>
      <c r="E167" s="146"/>
      <c r="F167" s="153"/>
      <c r="G167" s="153"/>
      <c r="H167" s="154" t="str">
        <f t="shared" si="4"/>
        <v/>
      </c>
      <c r="I16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7" s="165"/>
      <c r="K167" s="165"/>
      <c r="L167" s="166" t="str">
        <f t="shared" si="5"/>
        <v/>
      </c>
    </row>
    <row r="168" spans="2:12" s="117" customFormat="1" ht="20.100000000000001" customHeight="1" x14ac:dyDescent="0.2">
      <c r="B168" s="151"/>
      <c r="C168" s="152"/>
      <c r="D168" s="146"/>
      <c r="E168" s="146"/>
      <c r="F168" s="153"/>
      <c r="G168" s="153"/>
      <c r="H168" s="154" t="str">
        <f t="shared" si="4"/>
        <v/>
      </c>
      <c r="I16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8" s="165"/>
      <c r="K168" s="165"/>
      <c r="L168" s="166" t="str">
        <f t="shared" si="5"/>
        <v/>
      </c>
    </row>
    <row r="169" spans="2:12" s="117" customFormat="1" ht="20.100000000000001" customHeight="1" x14ac:dyDescent="0.2">
      <c r="B169" s="151"/>
      <c r="C169" s="152"/>
      <c r="D169" s="146"/>
      <c r="E169" s="146"/>
      <c r="F169" s="153"/>
      <c r="G169" s="153"/>
      <c r="H169" s="154" t="str">
        <f t="shared" si="4"/>
        <v/>
      </c>
      <c r="I16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69" s="165"/>
      <c r="K169" s="165"/>
      <c r="L169" s="166" t="str">
        <f t="shared" si="5"/>
        <v/>
      </c>
    </row>
    <row r="170" spans="2:12" s="117" customFormat="1" ht="20.100000000000001" customHeight="1" x14ac:dyDescent="0.2">
      <c r="B170" s="151"/>
      <c r="C170" s="152"/>
      <c r="D170" s="146"/>
      <c r="E170" s="146"/>
      <c r="F170" s="153"/>
      <c r="G170" s="153"/>
      <c r="H170" s="154" t="str">
        <f t="shared" si="4"/>
        <v/>
      </c>
      <c r="I17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0" s="165"/>
      <c r="K170" s="165"/>
      <c r="L170" s="166" t="str">
        <f t="shared" si="5"/>
        <v/>
      </c>
    </row>
    <row r="171" spans="2:12" s="117" customFormat="1" ht="20.100000000000001" customHeight="1" x14ac:dyDescent="0.2">
      <c r="B171" s="151"/>
      <c r="C171" s="152"/>
      <c r="D171" s="146"/>
      <c r="E171" s="146"/>
      <c r="F171" s="153"/>
      <c r="G171" s="153"/>
      <c r="H171" s="154" t="str">
        <f t="shared" si="4"/>
        <v/>
      </c>
      <c r="I17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1" s="165"/>
      <c r="K171" s="165"/>
      <c r="L171" s="166" t="str">
        <f t="shared" si="5"/>
        <v/>
      </c>
    </row>
    <row r="172" spans="2:12" s="117" customFormat="1" ht="20.100000000000001" customHeight="1" x14ac:dyDescent="0.2">
      <c r="B172" s="151"/>
      <c r="C172" s="152"/>
      <c r="D172" s="146"/>
      <c r="E172" s="146"/>
      <c r="F172" s="153"/>
      <c r="G172" s="153"/>
      <c r="H172" s="154" t="str">
        <f t="shared" si="4"/>
        <v/>
      </c>
      <c r="I17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2" s="165"/>
      <c r="K172" s="165"/>
      <c r="L172" s="166" t="str">
        <f t="shared" si="5"/>
        <v/>
      </c>
    </row>
    <row r="173" spans="2:12" s="117" customFormat="1" ht="20.100000000000001" customHeight="1" x14ac:dyDescent="0.2">
      <c r="B173" s="151"/>
      <c r="C173" s="152"/>
      <c r="D173" s="146"/>
      <c r="E173" s="146"/>
      <c r="F173" s="153"/>
      <c r="G173" s="153"/>
      <c r="H173" s="154" t="str">
        <f t="shared" si="4"/>
        <v/>
      </c>
      <c r="I17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3" s="165"/>
      <c r="K173" s="165"/>
      <c r="L173" s="166" t="str">
        <f t="shared" si="5"/>
        <v/>
      </c>
    </row>
    <row r="174" spans="2:12" s="117" customFormat="1" ht="20.100000000000001" customHeight="1" x14ac:dyDescent="0.2">
      <c r="B174" s="151"/>
      <c r="C174" s="152"/>
      <c r="D174" s="146"/>
      <c r="E174" s="146"/>
      <c r="F174" s="153"/>
      <c r="G174" s="153"/>
      <c r="H174" s="154" t="str">
        <f t="shared" si="4"/>
        <v/>
      </c>
      <c r="I17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4" s="165"/>
      <c r="K174" s="165"/>
      <c r="L174" s="166" t="str">
        <f t="shared" si="5"/>
        <v/>
      </c>
    </row>
    <row r="175" spans="2:12" s="117" customFormat="1" ht="20.100000000000001" customHeight="1" x14ac:dyDescent="0.2">
      <c r="B175" s="151"/>
      <c r="C175" s="152"/>
      <c r="D175" s="146"/>
      <c r="E175" s="146"/>
      <c r="F175" s="153"/>
      <c r="G175" s="153"/>
      <c r="H175" s="154" t="str">
        <f t="shared" si="4"/>
        <v/>
      </c>
      <c r="I17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5" s="165"/>
      <c r="K175" s="165"/>
      <c r="L175" s="166" t="str">
        <f t="shared" si="5"/>
        <v/>
      </c>
    </row>
    <row r="176" spans="2:12" s="117" customFormat="1" ht="20.100000000000001" customHeight="1" x14ac:dyDescent="0.2">
      <c r="B176" s="151"/>
      <c r="C176" s="152"/>
      <c r="D176" s="146"/>
      <c r="E176" s="146"/>
      <c r="F176" s="153"/>
      <c r="G176" s="153"/>
      <c r="H176" s="154" t="str">
        <f t="shared" si="4"/>
        <v/>
      </c>
      <c r="I17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6" s="165"/>
      <c r="K176" s="165"/>
      <c r="L176" s="166" t="str">
        <f t="shared" si="5"/>
        <v/>
      </c>
    </row>
    <row r="177" spans="2:12" s="117" customFormat="1" ht="20.100000000000001" customHeight="1" x14ac:dyDescent="0.2">
      <c r="B177" s="151"/>
      <c r="C177" s="152"/>
      <c r="D177" s="146"/>
      <c r="E177" s="146"/>
      <c r="F177" s="153"/>
      <c r="G177" s="153"/>
      <c r="H177" s="154" t="str">
        <f t="shared" si="4"/>
        <v/>
      </c>
      <c r="I17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7" s="165"/>
      <c r="K177" s="165"/>
      <c r="L177" s="166" t="str">
        <f t="shared" si="5"/>
        <v/>
      </c>
    </row>
    <row r="178" spans="2:12" s="117" customFormat="1" ht="20.100000000000001" customHeight="1" x14ac:dyDescent="0.2">
      <c r="B178" s="151"/>
      <c r="C178" s="152"/>
      <c r="D178" s="146"/>
      <c r="E178" s="146"/>
      <c r="F178" s="153"/>
      <c r="G178" s="153"/>
      <c r="H178" s="154" t="str">
        <f t="shared" si="4"/>
        <v/>
      </c>
      <c r="I17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8" s="165"/>
      <c r="K178" s="165"/>
      <c r="L178" s="166" t="str">
        <f t="shared" si="5"/>
        <v/>
      </c>
    </row>
    <row r="179" spans="2:12" s="117" customFormat="1" ht="20.100000000000001" customHeight="1" x14ac:dyDescent="0.2">
      <c r="B179" s="151"/>
      <c r="C179" s="152"/>
      <c r="D179" s="146"/>
      <c r="E179" s="146"/>
      <c r="F179" s="153"/>
      <c r="G179" s="153"/>
      <c r="H179" s="154" t="str">
        <f t="shared" si="4"/>
        <v/>
      </c>
      <c r="I17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79" s="165"/>
      <c r="K179" s="165"/>
      <c r="L179" s="166" t="str">
        <f t="shared" si="5"/>
        <v/>
      </c>
    </row>
    <row r="180" spans="2:12" s="117" customFormat="1" ht="20.100000000000001" customHeight="1" x14ac:dyDescent="0.2">
      <c r="B180" s="151"/>
      <c r="C180" s="152"/>
      <c r="D180" s="146"/>
      <c r="E180" s="146"/>
      <c r="F180" s="153"/>
      <c r="G180" s="153"/>
      <c r="H180" s="154" t="str">
        <f t="shared" si="4"/>
        <v/>
      </c>
      <c r="I18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0" s="165"/>
      <c r="K180" s="165"/>
      <c r="L180" s="166" t="str">
        <f t="shared" si="5"/>
        <v/>
      </c>
    </row>
    <row r="181" spans="2:12" s="117" customFormat="1" ht="20.100000000000001" customHeight="1" x14ac:dyDescent="0.2">
      <c r="B181" s="151"/>
      <c r="C181" s="152"/>
      <c r="D181" s="146"/>
      <c r="E181" s="146"/>
      <c r="F181" s="153"/>
      <c r="G181" s="153"/>
      <c r="H181" s="154" t="str">
        <f t="shared" si="4"/>
        <v/>
      </c>
      <c r="I18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1" s="165"/>
      <c r="K181" s="165"/>
      <c r="L181" s="166" t="str">
        <f t="shared" si="5"/>
        <v/>
      </c>
    </row>
    <row r="182" spans="2:12" s="117" customFormat="1" ht="20.100000000000001" customHeight="1" x14ac:dyDescent="0.2">
      <c r="B182" s="151"/>
      <c r="C182" s="152"/>
      <c r="D182" s="146"/>
      <c r="E182" s="146"/>
      <c r="F182" s="153"/>
      <c r="G182" s="153"/>
      <c r="H182" s="154" t="str">
        <f t="shared" si="4"/>
        <v/>
      </c>
      <c r="I18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2" s="165"/>
      <c r="K182" s="165"/>
      <c r="L182" s="166" t="str">
        <f t="shared" si="5"/>
        <v/>
      </c>
    </row>
    <row r="183" spans="2:12" s="117" customFormat="1" ht="20.100000000000001" customHeight="1" x14ac:dyDescent="0.2">
      <c r="B183" s="151"/>
      <c r="C183" s="152"/>
      <c r="D183" s="146"/>
      <c r="E183" s="146"/>
      <c r="F183" s="153"/>
      <c r="G183" s="153"/>
      <c r="H183" s="154" t="str">
        <f t="shared" si="4"/>
        <v/>
      </c>
      <c r="I18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3" s="165"/>
      <c r="K183" s="165"/>
      <c r="L183" s="166" t="str">
        <f t="shared" si="5"/>
        <v/>
      </c>
    </row>
    <row r="184" spans="2:12" s="117" customFormat="1" ht="20.100000000000001" customHeight="1" x14ac:dyDescent="0.2">
      <c r="B184" s="151"/>
      <c r="C184" s="152"/>
      <c r="D184" s="146"/>
      <c r="E184" s="146"/>
      <c r="F184" s="153"/>
      <c r="G184" s="153"/>
      <c r="H184" s="154" t="str">
        <f t="shared" si="4"/>
        <v/>
      </c>
      <c r="I18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4" s="165"/>
      <c r="K184" s="165"/>
      <c r="L184" s="166" t="str">
        <f t="shared" si="5"/>
        <v/>
      </c>
    </row>
    <row r="185" spans="2:12" s="117" customFormat="1" ht="20.100000000000001" customHeight="1" x14ac:dyDescent="0.2">
      <c r="B185" s="151"/>
      <c r="C185" s="152"/>
      <c r="D185" s="146"/>
      <c r="E185" s="146"/>
      <c r="F185" s="153"/>
      <c r="G185" s="153"/>
      <c r="H185" s="154" t="str">
        <f t="shared" si="4"/>
        <v/>
      </c>
      <c r="I18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5" s="165"/>
      <c r="K185" s="165"/>
      <c r="L185" s="166" t="str">
        <f t="shared" si="5"/>
        <v/>
      </c>
    </row>
    <row r="186" spans="2:12" s="117" customFormat="1" ht="20.100000000000001" customHeight="1" x14ac:dyDescent="0.2">
      <c r="B186" s="151"/>
      <c r="C186" s="152"/>
      <c r="D186" s="146"/>
      <c r="E186" s="146"/>
      <c r="F186" s="153"/>
      <c r="G186" s="153"/>
      <c r="H186" s="154" t="str">
        <f t="shared" si="4"/>
        <v/>
      </c>
      <c r="I18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6" s="165"/>
      <c r="K186" s="165"/>
      <c r="L186" s="166" t="str">
        <f t="shared" si="5"/>
        <v/>
      </c>
    </row>
    <row r="187" spans="2:12" s="117" customFormat="1" ht="20.100000000000001" customHeight="1" x14ac:dyDescent="0.2">
      <c r="B187" s="151"/>
      <c r="C187" s="152"/>
      <c r="D187" s="146"/>
      <c r="E187" s="146"/>
      <c r="F187" s="153"/>
      <c r="G187" s="153"/>
      <c r="H187" s="154" t="str">
        <f t="shared" si="4"/>
        <v/>
      </c>
      <c r="I18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7" s="165"/>
      <c r="K187" s="165"/>
      <c r="L187" s="166" t="str">
        <f t="shared" si="5"/>
        <v/>
      </c>
    </row>
    <row r="188" spans="2:12" s="117" customFormat="1" ht="20.100000000000001" customHeight="1" x14ac:dyDescent="0.2">
      <c r="B188" s="151"/>
      <c r="C188" s="152"/>
      <c r="D188" s="146"/>
      <c r="E188" s="146"/>
      <c r="F188" s="153"/>
      <c r="G188" s="153"/>
      <c r="H188" s="154" t="str">
        <f t="shared" si="4"/>
        <v/>
      </c>
      <c r="I18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8" s="165"/>
      <c r="K188" s="165"/>
      <c r="L188" s="166" t="str">
        <f t="shared" si="5"/>
        <v/>
      </c>
    </row>
    <row r="189" spans="2:12" s="117" customFormat="1" ht="20.100000000000001" customHeight="1" x14ac:dyDescent="0.2">
      <c r="B189" s="151"/>
      <c r="C189" s="152"/>
      <c r="D189" s="146"/>
      <c r="E189" s="146"/>
      <c r="F189" s="153"/>
      <c r="G189" s="153"/>
      <c r="H189" s="154" t="str">
        <f t="shared" si="4"/>
        <v/>
      </c>
      <c r="I18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89" s="165"/>
      <c r="K189" s="165"/>
      <c r="L189" s="166" t="str">
        <f t="shared" si="5"/>
        <v/>
      </c>
    </row>
    <row r="190" spans="2:12" s="117" customFormat="1" ht="20.100000000000001" customHeight="1" x14ac:dyDescent="0.2">
      <c r="B190" s="151"/>
      <c r="C190" s="152"/>
      <c r="D190" s="146"/>
      <c r="E190" s="146"/>
      <c r="F190" s="153"/>
      <c r="G190" s="153"/>
      <c r="H190" s="154" t="str">
        <f t="shared" si="4"/>
        <v/>
      </c>
      <c r="I19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0" s="165"/>
      <c r="K190" s="165"/>
      <c r="L190" s="166" t="str">
        <f t="shared" si="5"/>
        <v/>
      </c>
    </row>
    <row r="191" spans="2:12" s="117" customFormat="1" ht="20.100000000000001" customHeight="1" x14ac:dyDescent="0.2">
      <c r="B191" s="151"/>
      <c r="C191" s="152"/>
      <c r="D191" s="146"/>
      <c r="E191" s="146"/>
      <c r="F191" s="153"/>
      <c r="G191" s="153"/>
      <c r="H191" s="154" t="str">
        <f t="shared" si="4"/>
        <v/>
      </c>
      <c r="I19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1" s="165"/>
      <c r="K191" s="165"/>
      <c r="L191" s="166" t="str">
        <f t="shared" si="5"/>
        <v/>
      </c>
    </row>
    <row r="192" spans="2:12" s="117" customFormat="1" ht="20.100000000000001" customHeight="1" x14ac:dyDescent="0.2">
      <c r="B192" s="151"/>
      <c r="C192" s="152"/>
      <c r="D192" s="146"/>
      <c r="E192" s="146"/>
      <c r="F192" s="153"/>
      <c r="G192" s="153"/>
      <c r="H192" s="154" t="str">
        <f t="shared" si="4"/>
        <v/>
      </c>
      <c r="I19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2" s="165"/>
      <c r="K192" s="165"/>
      <c r="L192" s="166" t="str">
        <f t="shared" si="5"/>
        <v/>
      </c>
    </row>
    <row r="193" spans="2:12" s="117" customFormat="1" ht="20.100000000000001" customHeight="1" x14ac:dyDescent="0.2">
      <c r="B193" s="151"/>
      <c r="C193" s="152"/>
      <c r="D193" s="146"/>
      <c r="E193" s="146"/>
      <c r="F193" s="153"/>
      <c r="G193" s="153"/>
      <c r="H193" s="154" t="str">
        <f t="shared" si="4"/>
        <v/>
      </c>
      <c r="I19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3" s="165"/>
      <c r="K193" s="165"/>
      <c r="L193" s="166" t="str">
        <f t="shared" si="5"/>
        <v/>
      </c>
    </row>
    <row r="194" spans="2:12" s="117" customFormat="1" ht="20.100000000000001" customHeight="1" x14ac:dyDescent="0.2">
      <c r="B194" s="151"/>
      <c r="C194" s="152"/>
      <c r="D194" s="146"/>
      <c r="E194" s="146"/>
      <c r="F194" s="153"/>
      <c r="G194" s="153"/>
      <c r="H194" s="154" t="str">
        <f t="shared" si="4"/>
        <v/>
      </c>
      <c r="I19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4" s="165"/>
      <c r="K194" s="165"/>
      <c r="L194" s="166" t="str">
        <f t="shared" si="5"/>
        <v/>
      </c>
    </row>
    <row r="195" spans="2:12" s="117" customFormat="1" ht="20.100000000000001" customHeight="1" x14ac:dyDescent="0.2">
      <c r="B195" s="151"/>
      <c r="C195" s="152"/>
      <c r="D195" s="146"/>
      <c r="E195" s="146"/>
      <c r="F195" s="153"/>
      <c r="G195" s="153"/>
      <c r="H195" s="154" t="str">
        <f t="shared" si="4"/>
        <v/>
      </c>
      <c r="I19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5" s="165"/>
      <c r="K195" s="165"/>
      <c r="L195" s="166" t="str">
        <f t="shared" si="5"/>
        <v/>
      </c>
    </row>
    <row r="196" spans="2:12" s="117" customFormat="1" ht="20.100000000000001" customHeight="1" x14ac:dyDescent="0.2">
      <c r="B196" s="151"/>
      <c r="C196" s="152"/>
      <c r="D196" s="146"/>
      <c r="E196" s="146"/>
      <c r="F196" s="153"/>
      <c r="G196" s="153"/>
      <c r="H196" s="154" t="str">
        <f t="shared" si="4"/>
        <v/>
      </c>
      <c r="I19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6" s="165"/>
      <c r="K196" s="165"/>
      <c r="L196" s="166" t="str">
        <f t="shared" si="5"/>
        <v/>
      </c>
    </row>
    <row r="197" spans="2:12" s="117" customFormat="1" ht="20.100000000000001" customHeight="1" x14ac:dyDescent="0.2">
      <c r="B197" s="151"/>
      <c r="C197" s="152"/>
      <c r="D197" s="146"/>
      <c r="E197" s="146"/>
      <c r="F197" s="153"/>
      <c r="G197" s="153"/>
      <c r="H197" s="154" t="str">
        <f t="shared" ref="H197:H260" si="6">IFERROR(G197/F197,"")</f>
        <v/>
      </c>
      <c r="I19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7" s="165"/>
      <c r="K197" s="165"/>
      <c r="L197" s="166" t="str">
        <f t="shared" ref="L197:L260" si="7">IFERROR(K197/J197,"")</f>
        <v/>
      </c>
    </row>
    <row r="198" spans="2:12" s="117" customFormat="1" ht="20.100000000000001" customHeight="1" x14ac:dyDescent="0.2">
      <c r="B198" s="151"/>
      <c r="C198" s="152"/>
      <c r="D198" s="146"/>
      <c r="E198" s="146"/>
      <c r="F198" s="153"/>
      <c r="G198" s="153"/>
      <c r="H198" s="154" t="str">
        <f t="shared" si="6"/>
        <v/>
      </c>
      <c r="I19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8" s="165"/>
      <c r="K198" s="165"/>
      <c r="L198" s="166" t="str">
        <f t="shared" si="7"/>
        <v/>
      </c>
    </row>
    <row r="199" spans="2:12" s="117" customFormat="1" ht="20.100000000000001" customHeight="1" x14ac:dyDescent="0.2">
      <c r="B199" s="151"/>
      <c r="C199" s="152"/>
      <c r="D199" s="146"/>
      <c r="E199" s="146"/>
      <c r="F199" s="153"/>
      <c r="G199" s="153"/>
      <c r="H199" s="154" t="str">
        <f t="shared" si="6"/>
        <v/>
      </c>
      <c r="I19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199" s="165"/>
      <c r="K199" s="165"/>
      <c r="L199" s="166" t="str">
        <f t="shared" si="7"/>
        <v/>
      </c>
    </row>
    <row r="200" spans="2:12" s="117" customFormat="1" ht="20.100000000000001" customHeight="1" x14ac:dyDescent="0.2">
      <c r="B200" s="151"/>
      <c r="C200" s="152"/>
      <c r="D200" s="146"/>
      <c r="E200" s="146"/>
      <c r="F200" s="153"/>
      <c r="G200" s="153"/>
      <c r="H200" s="154" t="str">
        <f t="shared" si="6"/>
        <v/>
      </c>
      <c r="I20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0" s="165"/>
      <c r="K200" s="165"/>
      <c r="L200" s="166" t="str">
        <f t="shared" si="7"/>
        <v/>
      </c>
    </row>
    <row r="201" spans="2:12" s="117" customFormat="1" ht="20.100000000000001" customHeight="1" x14ac:dyDescent="0.2">
      <c r="B201" s="151"/>
      <c r="C201" s="152"/>
      <c r="D201" s="146"/>
      <c r="E201" s="146"/>
      <c r="F201" s="153"/>
      <c r="G201" s="153"/>
      <c r="H201" s="154" t="str">
        <f t="shared" si="6"/>
        <v/>
      </c>
      <c r="I20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1" s="165"/>
      <c r="K201" s="165"/>
      <c r="L201" s="166" t="str">
        <f t="shared" si="7"/>
        <v/>
      </c>
    </row>
    <row r="202" spans="2:12" s="117" customFormat="1" ht="20.100000000000001" customHeight="1" x14ac:dyDescent="0.2">
      <c r="B202" s="151"/>
      <c r="C202" s="152"/>
      <c r="D202" s="146"/>
      <c r="E202" s="146"/>
      <c r="F202" s="153"/>
      <c r="G202" s="153"/>
      <c r="H202" s="154" t="str">
        <f t="shared" si="6"/>
        <v/>
      </c>
      <c r="I20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2" s="165"/>
      <c r="K202" s="165"/>
      <c r="L202" s="166" t="str">
        <f t="shared" si="7"/>
        <v/>
      </c>
    </row>
    <row r="203" spans="2:12" s="117" customFormat="1" ht="20.100000000000001" customHeight="1" x14ac:dyDescent="0.2">
      <c r="B203" s="151"/>
      <c r="C203" s="152"/>
      <c r="D203" s="146"/>
      <c r="E203" s="146"/>
      <c r="F203" s="153"/>
      <c r="G203" s="153"/>
      <c r="H203" s="154" t="str">
        <f t="shared" si="6"/>
        <v/>
      </c>
      <c r="I20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3" s="165"/>
      <c r="K203" s="165"/>
      <c r="L203" s="166" t="str">
        <f t="shared" si="7"/>
        <v/>
      </c>
    </row>
    <row r="204" spans="2:12" s="117" customFormat="1" ht="20.100000000000001" customHeight="1" x14ac:dyDescent="0.2">
      <c r="B204" s="151"/>
      <c r="C204" s="152"/>
      <c r="D204" s="146"/>
      <c r="E204" s="146"/>
      <c r="F204" s="153"/>
      <c r="G204" s="153"/>
      <c r="H204" s="154" t="str">
        <f t="shared" si="6"/>
        <v/>
      </c>
      <c r="I20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4" s="165"/>
      <c r="K204" s="165"/>
      <c r="L204" s="166" t="str">
        <f t="shared" si="7"/>
        <v/>
      </c>
    </row>
    <row r="205" spans="2:12" s="117" customFormat="1" ht="20.100000000000001" customHeight="1" x14ac:dyDescent="0.2">
      <c r="B205" s="151"/>
      <c r="C205" s="152"/>
      <c r="D205" s="146"/>
      <c r="E205" s="146"/>
      <c r="F205" s="153"/>
      <c r="G205" s="153"/>
      <c r="H205" s="154" t="str">
        <f t="shared" si="6"/>
        <v/>
      </c>
      <c r="I20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5" s="165"/>
      <c r="K205" s="165"/>
      <c r="L205" s="166" t="str">
        <f t="shared" si="7"/>
        <v/>
      </c>
    </row>
    <row r="206" spans="2:12" s="117" customFormat="1" ht="20.100000000000001" customHeight="1" x14ac:dyDescent="0.2">
      <c r="B206" s="151"/>
      <c r="C206" s="152"/>
      <c r="D206" s="146"/>
      <c r="E206" s="146"/>
      <c r="F206" s="153"/>
      <c r="G206" s="153"/>
      <c r="H206" s="154" t="str">
        <f t="shared" si="6"/>
        <v/>
      </c>
      <c r="I20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6" s="165"/>
      <c r="K206" s="165"/>
      <c r="L206" s="166" t="str">
        <f t="shared" si="7"/>
        <v/>
      </c>
    </row>
    <row r="207" spans="2:12" s="117" customFormat="1" ht="20.100000000000001" customHeight="1" x14ac:dyDescent="0.2">
      <c r="B207" s="151"/>
      <c r="C207" s="152"/>
      <c r="D207" s="146"/>
      <c r="E207" s="146"/>
      <c r="F207" s="153"/>
      <c r="G207" s="153"/>
      <c r="H207" s="154" t="str">
        <f t="shared" si="6"/>
        <v/>
      </c>
      <c r="I20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7" s="165"/>
      <c r="K207" s="165"/>
      <c r="L207" s="166" t="str">
        <f t="shared" si="7"/>
        <v/>
      </c>
    </row>
    <row r="208" spans="2:12" s="117" customFormat="1" ht="20.100000000000001" customHeight="1" x14ac:dyDescent="0.2">
      <c r="B208" s="151"/>
      <c r="C208" s="152"/>
      <c r="D208" s="146"/>
      <c r="E208" s="146"/>
      <c r="F208" s="153"/>
      <c r="G208" s="153"/>
      <c r="H208" s="154" t="str">
        <f t="shared" si="6"/>
        <v/>
      </c>
      <c r="I20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8" s="165"/>
      <c r="K208" s="165"/>
      <c r="L208" s="166" t="str">
        <f t="shared" si="7"/>
        <v/>
      </c>
    </row>
    <row r="209" spans="2:12" s="117" customFormat="1" ht="20.100000000000001" customHeight="1" x14ac:dyDescent="0.2">
      <c r="B209" s="151"/>
      <c r="C209" s="152"/>
      <c r="D209" s="146"/>
      <c r="E209" s="146"/>
      <c r="F209" s="153"/>
      <c r="G209" s="153"/>
      <c r="H209" s="154" t="str">
        <f t="shared" si="6"/>
        <v/>
      </c>
      <c r="I20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09" s="165"/>
      <c r="K209" s="165"/>
      <c r="L209" s="166" t="str">
        <f t="shared" si="7"/>
        <v/>
      </c>
    </row>
    <row r="210" spans="2:12" s="117" customFormat="1" ht="20.100000000000001" customHeight="1" x14ac:dyDescent="0.2">
      <c r="B210" s="151"/>
      <c r="C210" s="152"/>
      <c r="D210" s="146"/>
      <c r="E210" s="146"/>
      <c r="F210" s="153"/>
      <c r="G210" s="153"/>
      <c r="H210" s="154" t="str">
        <f t="shared" si="6"/>
        <v/>
      </c>
      <c r="I21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0" s="165"/>
      <c r="K210" s="165"/>
      <c r="L210" s="166" t="str">
        <f t="shared" si="7"/>
        <v/>
      </c>
    </row>
    <row r="211" spans="2:12" s="117" customFormat="1" ht="20.100000000000001" customHeight="1" x14ac:dyDescent="0.2">
      <c r="B211" s="151"/>
      <c r="C211" s="152"/>
      <c r="D211" s="146"/>
      <c r="E211" s="146"/>
      <c r="F211" s="153"/>
      <c r="G211" s="153"/>
      <c r="H211" s="154" t="str">
        <f t="shared" si="6"/>
        <v/>
      </c>
      <c r="I21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1" s="165"/>
      <c r="K211" s="165"/>
      <c r="L211" s="166" t="str">
        <f t="shared" si="7"/>
        <v/>
      </c>
    </row>
    <row r="212" spans="2:12" s="117" customFormat="1" ht="20.100000000000001" customHeight="1" x14ac:dyDescent="0.2">
      <c r="B212" s="151"/>
      <c r="C212" s="152"/>
      <c r="D212" s="146"/>
      <c r="E212" s="146"/>
      <c r="F212" s="153"/>
      <c r="G212" s="153"/>
      <c r="H212" s="154" t="str">
        <f t="shared" si="6"/>
        <v/>
      </c>
      <c r="I21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2" s="165"/>
      <c r="K212" s="165"/>
      <c r="L212" s="166" t="str">
        <f t="shared" si="7"/>
        <v/>
      </c>
    </row>
    <row r="213" spans="2:12" s="117" customFormat="1" ht="20.100000000000001" customHeight="1" x14ac:dyDescent="0.2">
      <c r="B213" s="151"/>
      <c r="C213" s="152"/>
      <c r="D213" s="146"/>
      <c r="E213" s="146"/>
      <c r="F213" s="153"/>
      <c r="G213" s="153"/>
      <c r="H213" s="154" t="str">
        <f t="shared" si="6"/>
        <v/>
      </c>
      <c r="I21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3" s="165"/>
      <c r="K213" s="165"/>
      <c r="L213" s="166" t="str">
        <f t="shared" si="7"/>
        <v/>
      </c>
    </row>
    <row r="214" spans="2:12" s="117" customFormat="1" ht="20.100000000000001" customHeight="1" x14ac:dyDescent="0.2">
      <c r="B214" s="151"/>
      <c r="C214" s="152"/>
      <c r="D214" s="146"/>
      <c r="E214" s="146"/>
      <c r="F214" s="153"/>
      <c r="G214" s="153"/>
      <c r="H214" s="154" t="str">
        <f t="shared" si="6"/>
        <v/>
      </c>
      <c r="I21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4" s="165"/>
      <c r="K214" s="165"/>
      <c r="L214" s="166" t="str">
        <f t="shared" si="7"/>
        <v/>
      </c>
    </row>
    <row r="215" spans="2:12" s="117" customFormat="1" ht="20.100000000000001" customHeight="1" x14ac:dyDescent="0.2">
      <c r="B215" s="151"/>
      <c r="C215" s="152"/>
      <c r="D215" s="146"/>
      <c r="E215" s="146"/>
      <c r="F215" s="153"/>
      <c r="G215" s="153"/>
      <c r="H215" s="154" t="str">
        <f t="shared" si="6"/>
        <v/>
      </c>
      <c r="I21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5" s="165"/>
      <c r="K215" s="165"/>
      <c r="L215" s="166" t="str">
        <f t="shared" si="7"/>
        <v/>
      </c>
    </row>
    <row r="216" spans="2:12" s="117" customFormat="1" ht="20.100000000000001" customHeight="1" x14ac:dyDescent="0.2">
      <c r="B216" s="151"/>
      <c r="C216" s="152"/>
      <c r="D216" s="146"/>
      <c r="E216" s="146"/>
      <c r="F216" s="153"/>
      <c r="G216" s="153"/>
      <c r="H216" s="154" t="str">
        <f t="shared" si="6"/>
        <v/>
      </c>
      <c r="I21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6" s="165"/>
      <c r="K216" s="165"/>
      <c r="L216" s="166" t="str">
        <f t="shared" si="7"/>
        <v/>
      </c>
    </row>
    <row r="217" spans="2:12" s="117" customFormat="1" ht="20.100000000000001" customHeight="1" x14ac:dyDescent="0.2">
      <c r="B217" s="151"/>
      <c r="C217" s="152"/>
      <c r="D217" s="146"/>
      <c r="E217" s="146"/>
      <c r="F217" s="153"/>
      <c r="G217" s="153"/>
      <c r="H217" s="154" t="str">
        <f t="shared" si="6"/>
        <v/>
      </c>
      <c r="I21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7" s="165"/>
      <c r="K217" s="165"/>
      <c r="L217" s="166" t="str">
        <f t="shared" si="7"/>
        <v/>
      </c>
    </row>
    <row r="218" spans="2:12" s="117" customFormat="1" ht="20.100000000000001" customHeight="1" x14ac:dyDescent="0.2">
      <c r="B218" s="151"/>
      <c r="C218" s="152"/>
      <c r="D218" s="146"/>
      <c r="E218" s="146"/>
      <c r="F218" s="153"/>
      <c r="G218" s="153"/>
      <c r="H218" s="154" t="str">
        <f t="shared" si="6"/>
        <v/>
      </c>
      <c r="I21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8" s="165"/>
      <c r="K218" s="165"/>
      <c r="L218" s="166" t="str">
        <f t="shared" si="7"/>
        <v/>
      </c>
    </row>
    <row r="219" spans="2:12" s="117" customFormat="1" ht="20.100000000000001" customHeight="1" x14ac:dyDescent="0.2">
      <c r="B219" s="151"/>
      <c r="C219" s="152"/>
      <c r="D219" s="146"/>
      <c r="E219" s="146"/>
      <c r="F219" s="153"/>
      <c r="G219" s="153"/>
      <c r="H219" s="154" t="str">
        <f t="shared" si="6"/>
        <v/>
      </c>
      <c r="I21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19" s="165"/>
      <c r="K219" s="165"/>
      <c r="L219" s="166" t="str">
        <f t="shared" si="7"/>
        <v/>
      </c>
    </row>
    <row r="220" spans="2:12" s="117" customFormat="1" ht="20.100000000000001" customHeight="1" x14ac:dyDescent="0.2">
      <c r="B220" s="151"/>
      <c r="C220" s="152"/>
      <c r="D220" s="146"/>
      <c r="E220" s="146"/>
      <c r="F220" s="153"/>
      <c r="G220" s="153"/>
      <c r="H220" s="154" t="str">
        <f t="shared" si="6"/>
        <v/>
      </c>
      <c r="I22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0" s="165"/>
      <c r="K220" s="165"/>
      <c r="L220" s="166" t="str">
        <f t="shared" si="7"/>
        <v/>
      </c>
    </row>
    <row r="221" spans="2:12" s="117" customFormat="1" ht="20.100000000000001" customHeight="1" x14ac:dyDescent="0.2">
      <c r="B221" s="151"/>
      <c r="C221" s="152"/>
      <c r="D221" s="146"/>
      <c r="E221" s="146"/>
      <c r="F221" s="153"/>
      <c r="G221" s="153"/>
      <c r="H221" s="154" t="str">
        <f t="shared" si="6"/>
        <v/>
      </c>
      <c r="I22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1" s="165"/>
      <c r="K221" s="165"/>
      <c r="L221" s="166" t="str">
        <f t="shared" si="7"/>
        <v/>
      </c>
    </row>
    <row r="222" spans="2:12" s="117" customFormat="1" ht="20.100000000000001" customHeight="1" x14ac:dyDescent="0.2">
      <c r="B222" s="151"/>
      <c r="C222" s="152"/>
      <c r="D222" s="146"/>
      <c r="E222" s="146"/>
      <c r="F222" s="153"/>
      <c r="G222" s="153"/>
      <c r="H222" s="154" t="str">
        <f t="shared" si="6"/>
        <v/>
      </c>
      <c r="I22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2" s="165"/>
      <c r="K222" s="165"/>
      <c r="L222" s="166" t="str">
        <f t="shared" si="7"/>
        <v/>
      </c>
    </row>
    <row r="223" spans="2:12" s="117" customFormat="1" ht="20.100000000000001" customHeight="1" x14ac:dyDescent="0.2">
      <c r="B223" s="151"/>
      <c r="C223" s="152"/>
      <c r="D223" s="146"/>
      <c r="E223" s="146"/>
      <c r="F223" s="153"/>
      <c r="G223" s="153"/>
      <c r="H223" s="154" t="str">
        <f t="shared" si="6"/>
        <v/>
      </c>
      <c r="I22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3" s="165"/>
      <c r="K223" s="165"/>
      <c r="L223" s="166" t="str">
        <f t="shared" si="7"/>
        <v/>
      </c>
    </row>
    <row r="224" spans="2:12" s="117" customFormat="1" ht="20.100000000000001" customHeight="1" x14ac:dyDescent="0.2">
      <c r="B224" s="151"/>
      <c r="C224" s="152"/>
      <c r="D224" s="146"/>
      <c r="E224" s="146"/>
      <c r="F224" s="153"/>
      <c r="G224" s="153"/>
      <c r="H224" s="154" t="str">
        <f t="shared" si="6"/>
        <v/>
      </c>
      <c r="I22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4" s="165"/>
      <c r="K224" s="165"/>
      <c r="L224" s="166" t="str">
        <f t="shared" si="7"/>
        <v/>
      </c>
    </row>
    <row r="225" spans="2:12" s="117" customFormat="1" ht="20.100000000000001" customHeight="1" x14ac:dyDescent="0.2">
      <c r="B225" s="151"/>
      <c r="C225" s="152"/>
      <c r="D225" s="146"/>
      <c r="E225" s="146"/>
      <c r="F225" s="153"/>
      <c r="G225" s="153"/>
      <c r="H225" s="154" t="str">
        <f t="shared" si="6"/>
        <v/>
      </c>
      <c r="I22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5" s="165"/>
      <c r="K225" s="165"/>
      <c r="L225" s="166" t="str">
        <f t="shared" si="7"/>
        <v/>
      </c>
    </row>
    <row r="226" spans="2:12" s="117" customFormat="1" ht="20.100000000000001" customHeight="1" x14ac:dyDescent="0.2">
      <c r="B226" s="151"/>
      <c r="C226" s="152"/>
      <c r="D226" s="146"/>
      <c r="E226" s="146"/>
      <c r="F226" s="153"/>
      <c r="G226" s="153"/>
      <c r="H226" s="154" t="str">
        <f t="shared" si="6"/>
        <v/>
      </c>
      <c r="I22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6" s="165"/>
      <c r="K226" s="165"/>
      <c r="L226" s="166" t="str">
        <f t="shared" si="7"/>
        <v/>
      </c>
    </row>
    <row r="227" spans="2:12" s="117" customFormat="1" ht="20.100000000000001" customHeight="1" x14ac:dyDescent="0.2">
      <c r="B227" s="151"/>
      <c r="C227" s="152"/>
      <c r="D227" s="146"/>
      <c r="E227" s="146"/>
      <c r="F227" s="153"/>
      <c r="G227" s="153"/>
      <c r="H227" s="154" t="str">
        <f t="shared" si="6"/>
        <v/>
      </c>
      <c r="I22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7" s="165"/>
      <c r="K227" s="165"/>
      <c r="L227" s="166" t="str">
        <f t="shared" si="7"/>
        <v/>
      </c>
    </row>
    <row r="228" spans="2:12" s="117" customFormat="1" ht="20.100000000000001" customHeight="1" x14ac:dyDescent="0.2">
      <c r="B228" s="151"/>
      <c r="C228" s="152"/>
      <c r="D228" s="146"/>
      <c r="E228" s="146"/>
      <c r="F228" s="153"/>
      <c r="G228" s="153"/>
      <c r="H228" s="154" t="str">
        <f t="shared" si="6"/>
        <v/>
      </c>
      <c r="I22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8" s="165"/>
      <c r="K228" s="165"/>
      <c r="L228" s="166" t="str">
        <f t="shared" si="7"/>
        <v/>
      </c>
    </row>
    <row r="229" spans="2:12" s="117" customFormat="1" ht="20.100000000000001" customHeight="1" x14ac:dyDescent="0.2">
      <c r="B229" s="151"/>
      <c r="C229" s="152"/>
      <c r="D229" s="146"/>
      <c r="E229" s="146"/>
      <c r="F229" s="153"/>
      <c r="G229" s="153"/>
      <c r="H229" s="154" t="str">
        <f t="shared" si="6"/>
        <v/>
      </c>
      <c r="I22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29" s="165"/>
      <c r="K229" s="165"/>
      <c r="L229" s="166" t="str">
        <f t="shared" si="7"/>
        <v/>
      </c>
    </row>
    <row r="230" spans="2:12" s="117" customFormat="1" ht="20.100000000000001" customHeight="1" x14ac:dyDescent="0.2">
      <c r="B230" s="151"/>
      <c r="C230" s="152"/>
      <c r="D230" s="146"/>
      <c r="E230" s="146"/>
      <c r="F230" s="153"/>
      <c r="G230" s="153"/>
      <c r="H230" s="154" t="str">
        <f t="shared" si="6"/>
        <v/>
      </c>
      <c r="I23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0" s="165"/>
      <c r="K230" s="165"/>
      <c r="L230" s="166" t="str">
        <f t="shared" si="7"/>
        <v/>
      </c>
    </row>
    <row r="231" spans="2:12" s="117" customFormat="1" ht="20.100000000000001" customHeight="1" x14ac:dyDescent="0.2">
      <c r="B231" s="151"/>
      <c r="C231" s="152"/>
      <c r="D231" s="146"/>
      <c r="E231" s="146"/>
      <c r="F231" s="153"/>
      <c r="G231" s="153"/>
      <c r="H231" s="154" t="str">
        <f t="shared" si="6"/>
        <v/>
      </c>
      <c r="I23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1" s="165"/>
      <c r="K231" s="165"/>
      <c r="L231" s="166" t="str">
        <f t="shared" si="7"/>
        <v/>
      </c>
    </row>
    <row r="232" spans="2:12" s="117" customFormat="1" ht="20.100000000000001" customHeight="1" x14ac:dyDescent="0.2">
      <c r="B232" s="151"/>
      <c r="C232" s="152"/>
      <c r="D232" s="146"/>
      <c r="E232" s="146"/>
      <c r="F232" s="153"/>
      <c r="G232" s="153"/>
      <c r="H232" s="154" t="str">
        <f t="shared" si="6"/>
        <v/>
      </c>
      <c r="I23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2" s="165"/>
      <c r="K232" s="165"/>
      <c r="L232" s="166" t="str">
        <f t="shared" si="7"/>
        <v/>
      </c>
    </row>
    <row r="233" spans="2:12" s="117" customFormat="1" ht="20.100000000000001" customHeight="1" x14ac:dyDescent="0.2">
      <c r="B233" s="151"/>
      <c r="C233" s="152"/>
      <c r="D233" s="146"/>
      <c r="E233" s="146"/>
      <c r="F233" s="153"/>
      <c r="G233" s="153"/>
      <c r="H233" s="154" t="str">
        <f t="shared" si="6"/>
        <v/>
      </c>
      <c r="I23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3" s="165"/>
      <c r="K233" s="165"/>
      <c r="L233" s="166" t="str">
        <f t="shared" si="7"/>
        <v/>
      </c>
    </row>
    <row r="234" spans="2:12" s="117" customFormat="1" ht="20.100000000000001" customHeight="1" x14ac:dyDescent="0.2">
      <c r="B234" s="151"/>
      <c r="C234" s="152"/>
      <c r="D234" s="146"/>
      <c r="E234" s="146"/>
      <c r="F234" s="153"/>
      <c r="G234" s="153"/>
      <c r="H234" s="154" t="str">
        <f t="shared" si="6"/>
        <v/>
      </c>
      <c r="I23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4" s="165"/>
      <c r="K234" s="165"/>
      <c r="L234" s="166" t="str">
        <f t="shared" si="7"/>
        <v/>
      </c>
    </row>
    <row r="235" spans="2:12" s="117" customFormat="1" ht="20.100000000000001" customHeight="1" x14ac:dyDescent="0.2">
      <c r="B235" s="151"/>
      <c r="C235" s="152"/>
      <c r="D235" s="146"/>
      <c r="E235" s="146"/>
      <c r="F235" s="153"/>
      <c r="G235" s="153"/>
      <c r="H235" s="154" t="str">
        <f t="shared" si="6"/>
        <v/>
      </c>
      <c r="I23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5" s="165"/>
      <c r="K235" s="165"/>
      <c r="L235" s="166" t="str">
        <f t="shared" si="7"/>
        <v/>
      </c>
    </row>
    <row r="236" spans="2:12" s="117" customFormat="1" ht="20.100000000000001" customHeight="1" x14ac:dyDescent="0.2">
      <c r="B236" s="151"/>
      <c r="C236" s="152"/>
      <c r="D236" s="146"/>
      <c r="E236" s="146"/>
      <c r="F236" s="153"/>
      <c r="G236" s="153"/>
      <c r="H236" s="154" t="str">
        <f t="shared" si="6"/>
        <v/>
      </c>
      <c r="I23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6" s="165"/>
      <c r="K236" s="165"/>
      <c r="L236" s="166" t="str">
        <f t="shared" si="7"/>
        <v/>
      </c>
    </row>
    <row r="237" spans="2:12" s="117" customFormat="1" ht="20.100000000000001" customHeight="1" x14ac:dyDescent="0.2">
      <c r="B237" s="151"/>
      <c r="C237" s="152"/>
      <c r="D237" s="146"/>
      <c r="E237" s="146"/>
      <c r="F237" s="153"/>
      <c r="G237" s="153"/>
      <c r="H237" s="154" t="str">
        <f t="shared" si="6"/>
        <v/>
      </c>
      <c r="I23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7" s="165"/>
      <c r="K237" s="165"/>
      <c r="L237" s="166" t="str">
        <f t="shared" si="7"/>
        <v/>
      </c>
    </row>
    <row r="238" spans="2:12" s="117" customFormat="1" ht="20.100000000000001" customHeight="1" x14ac:dyDescent="0.2">
      <c r="B238" s="151"/>
      <c r="C238" s="152"/>
      <c r="D238" s="146"/>
      <c r="E238" s="146"/>
      <c r="F238" s="153"/>
      <c r="G238" s="153"/>
      <c r="H238" s="154" t="str">
        <f t="shared" si="6"/>
        <v/>
      </c>
      <c r="I23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8" s="165"/>
      <c r="K238" s="165"/>
      <c r="L238" s="166" t="str">
        <f t="shared" si="7"/>
        <v/>
      </c>
    </row>
    <row r="239" spans="2:12" s="117" customFormat="1" ht="20.100000000000001" customHeight="1" x14ac:dyDescent="0.2">
      <c r="B239" s="151"/>
      <c r="C239" s="152"/>
      <c r="D239" s="146"/>
      <c r="E239" s="146"/>
      <c r="F239" s="153"/>
      <c r="G239" s="153"/>
      <c r="H239" s="154" t="str">
        <f t="shared" si="6"/>
        <v/>
      </c>
      <c r="I23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39" s="165"/>
      <c r="K239" s="165"/>
      <c r="L239" s="166" t="str">
        <f t="shared" si="7"/>
        <v/>
      </c>
    </row>
    <row r="240" spans="2:12" s="117" customFormat="1" ht="20.100000000000001" customHeight="1" x14ac:dyDescent="0.2">
      <c r="B240" s="151"/>
      <c r="C240" s="152"/>
      <c r="D240" s="146"/>
      <c r="E240" s="146"/>
      <c r="F240" s="153"/>
      <c r="G240" s="153"/>
      <c r="H240" s="154" t="str">
        <f t="shared" si="6"/>
        <v/>
      </c>
      <c r="I24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0" s="165"/>
      <c r="K240" s="165"/>
      <c r="L240" s="166" t="str">
        <f t="shared" si="7"/>
        <v/>
      </c>
    </row>
    <row r="241" spans="2:12" s="117" customFormat="1" ht="20.100000000000001" customHeight="1" x14ac:dyDescent="0.2">
      <c r="B241" s="151"/>
      <c r="C241" s="152"/>
      <c r="D241" s="146"/>
      <c r="E241" s="146"/>
      <c r="F241" s="153"/>
      <c r="G241" s="153"/>
      <c r="H241" s="154" t="str">
        <f t="shared" si="6"/>
        <v/>
      </c>
      <c r="I24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1" s="165"/>
      <c r="K241" s="165"/>
      <c r="L241" s="166" t="str">
        <f t="shared" si="7"/>
        <v/>
      </c>
    </row>
    <row r="242" spans="2:12" s="117" customFormat="1" ht="20.100000000000001" customHeight="1" x14ac:dyDescent="0.2">
      <c r="B242" s="151"/>
      <c r="C242" s="152"/>
      <c r="D242" s="146"/>
      <c r="E242" s="146"/>
      <c r="F242" s="153"/>
      <c r="G242" s="153"/>
      <c r="H242" s="154" t="str">
        <f t="shared" si="6"/>
        <v/>
      </c>
      <c r="I24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2" s="165"/>
      <c r="K242" s="165"/>
      <c r="L242" s="166" t="str">
        <f t="shared" si="7"/>
        <v/>
      </c>
    </row>
    <row r="243" spans="2:12" s="117" customFormat="1" ht="20.100000000000001" customHeight="1" x14ac:dyDescent="0.2">
      <c r="B243" s="151"/>
      <c r="C243" s="152"/>
      <c r="D243" s="146"/>
      <c r="E243" s="146"/>
      <c r="F243" s="153"/>
      <c r="G243" s="153"/>
      <c r="H243" s="154" t="str">
        <f t="shared" si="6"/>
        <v/>
      </c>
      <c r="I24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3" s="165"/>
      <c r="K243" s="165"/>
      <c r="L243" s="166" t="str">
        <f t="shared" si="7"/>
        <v/>
      </c>
    </row>
    <row r="244" spans="2:12" s="117" customFormat="1" ht="20.100000000000001" customHeight="1" x14ac:dyDescent="0.2">
      <c r="B244" s="151"/>
      <c r="C244" s="152"/>
      <c r="D244" s="146"/>
      <c r="E244" s="146"/>
      <c r="F244" s="153"/>
      <c r="G244" s="153"/>
      <c r="H244" s="154" t="str">
        <f t="shared" si="6"/>
        <v/>
      </c>
      <c r="I24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4" s="165"/>
      <c r="K244" s="165"/>
      <c r="L244" s="166" t="str">
        <f t="shared" si="7"/>
        <v/>
      </c>
    </row>
    <row r="245" spans="2:12" s="117" customFormat="1" ht="20.100000000000001" customHeight="1" x14ac:dyDescent="0.2">
      <c r="B245" s="151"/>
      <c r="C245" s="152"/>
      <c r="D245" s="146"/>
      <c r="E245" s="146"/>
      <c r="F245" s="153"/>
      <c r="G245" s="153"/>
      <c r="H245" s="154" t="str">
        <f t="shared" si="6"/>
        <v/>
      </c>
      <c r="I24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5" s="165"/>
      <c r="K245" s="165"/>
      <c r="L245" s="166" t="str">
        <f t="shared" si="7"/>
        <v/>
      </c>
    </row>
    <row r="246" spans="2:12" s="117" customFormat="1" ht="20.100000000000001" customHeight="1" x14ac:dyDescent="0.2">
      <c r="B246" s="151"/>
      <c r="C246" s="152"/>
      <c r="D246" s="146"/>
      <c r="E246" s="146"/>
      <c r="F246" s="153"/>
      <c r="G246" s="153"/>
      <c r="H246" s="154" t="str">
        <f t="shared" si="6"/>
        <v/>
      </c>
      <c r="I24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6" s="165"/>
      <c r="K246" s="165"/>
      <c r="L246" s="166" t="str">
        <f t="shared" si="7"/>
        <v/>
      </c>
    </row>
    <row r="247" spans="2:12" s="117" customFormat="1" ht="20.100000000000001" customHeight="1" x14ac:dyDescent="0.2">
      <c r="B247" s="151"/>
      <c r="C247" s="152"/>
      <c r="D247" s="146"/>
      <c r="E247" s="146"/>
      <c r="F247" s="153"/>
      <c r="G247" s="153"/>
      <c r="H247" s="154" t="str">
        <f t="shared" si="6"/>
        <v/>
      </c>
      <c r="I24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7" s="165"/>
      <c r="K247" s="165"/>
      <c r="L247" s="166" t="str">
        <f t="shared" si="7"/>
        <v/>
      </c>
    </row>
    <row r="248" spans="2:12" s="117" customFormat="1" ht="20.100000000000001" customHeight="1" x14ac:dyDescent="0.2">
      <c r="B248" s="151"/>
      <c r="C248" s="152"/>
      <c r="D248" s="146"/>
      <c r="E248" s="146"/>
      <c r="F248" s="153"/>
      <c r="G248" s="153"/>
      <c r="H248" s="154" t="str">
        <f t="shared" si="6"/>
        <v/>
      </c>
      <c r="I24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8" s="165"/>
      <c r="K248" s="165"/>
      <c r="L248" s="166" t="str">
        <f t="shared" si="7"/>
        <v/>
      </c>
    </row>
    <row r="249" spans="2:12" s="117" customFormat="1" ht="20.100000000000001" customHeight="1" x14ac:dyDescent="0.2">
      <c r="B249" s="151"/>
      <c r="C249" s="152"/>
      <c r="D249" s="146"/>
      <c r="E249" s="146"/>
      <c r="F249" s="153"/>
      <c r="G249" s="153"/>
      <c r="H249" s="154" t="str">
        <f t="shared" si="6"/>
        <v/>
      </c>
      <c r="I24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49" s="165"/>
      <c r="K249" s="165"/>
      <c r="L249" s="166" t="str">
        <f t="shared" si="7"/>
        <v/>
      </c>
    </row>
    <row r="250" spans="2:12" s="117" customFormat="1" ht="20.100000000000001" customHeight="1" x14ac:dyDescent="0.2">
      <c r="B250" s="151"/>
      <c r="C250" s="152"/>
      <c r="D250" s="146"/>
      <c r="E250" s="146"/>
      <c r="F250" s="153"/>
      <c r="G250" s="153"/>
      <c r="H250" s="154" t="str">
        <f t="shared" si="6"/>
        <v/>
      </c>
      <c r="I25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0" s="165"/>
      <c r="K250" s="165"/>
      <c r="L250" s="166" t="str">
        <f t="shared" si="7"/>
        <v/>
      </c>
    </row>
    <row r="251" spans="2:12" s="117" customFormat="1" ht="20.100000000000001" customHeight="1" x14ac:dyDescent="0.2">
      <c r="B251" s="151"/>
      <c r="C251" s="152"/>
      <c r="D251" s="146"/>
      <c r="E251" s="146"/>
      <c r="F251" s="153"/>
      <c r="G251" s="153"/>
      <c r="H251" s="154" t="str">
        <f t="shared" si="6"/>
        <v/>
      </c>
      <c r="I25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1" s="165"/>
      <c r="K251" s="165"/>
      <c r="L251" s="166" t="str">
        <f t="shared" si="7"/>
        <v/>
      </c>
    </row>
    <row r="252" spans="2:12" s="117" customFormat="1" ht="20.100000000000001" customHeight="1" x14ac:dyDescent="0.2">
      <c r="B252" s="151"/>
      <c r="C252" s="152"/>
      <c r="D252" s="146"/>
      <c r="E252" s="146"/>
      <c r="F252" s="153"/>
      <c r="G252" s="153"/>
      <c r="H252" s="154" t="str">
        <f t="shared" si="6"/>
        <v/>
      </c>
      <c r="I25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2" s="165"/>
      <c r="K252" s="165"/>
      <c r="L252" s="166" t="str">
        <f t="shared" si="7"/>
        <v/>
      </c>
    </row>
    <row r="253" spans="2:12" s="117" customFormat="1" ht="20.100000000000001" customHeight="1" x14ac:dyDescent="0.2">
      <c r="B253" s="151"/>
      <c r="C253" s="152"/>
      <c r="D253" s="146"/>
      <c r="E253" s="146"/>
      <c r="F253" s="153"/>
      <c r="G253" s="153"/>
      <c r="H253" s="154" t="str">
        <f t="shared" si="6"/>
        <v/>
      </c>
      <c r="I25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3" s="165"/>
      <c r="K253" s="165"/>
      <c r="L253" s="166" t="str">
        <f t="shared" si="7"/>
        <v/>
      </c>
    </row>
    <row r="254" spans="2:12" s="117" customFormat="1" ht="20.100000000000001" customHeight="1" x14ac:dyDescent="0.2">
      <c r="B254" s="151"/>
      <c r="C254" s="152"/>
      <c r="D254" s="146"/>
      <c r="E254" s="146"/>
      <c r="F254" s="153"/>
      <c r="G254" s="153"/>
      <c r="H254" s="154" t="str">
        <f t="shared" si="6"/>
        <v/>
      </c>
      <c r="I25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4" s="165"/>
      <c r="K254" s="165"/>
      <c r="L254" s="166" t="str">
        <f t="shared" si="7"/>
        <v/>
      </c>
    </row>
    <row r="255" spans="2:12" s="117" customFormat="1" ht="20.100000000000001" customHeight="1" x14ac:dyDescent="0.2">
      <c r="B255" s="151"/>
      <c r="C255" s="152"/>
      <c r="D255" s="146"/>
      <c r="E255" s="146"/>
      <c r="F255" s="153"/>
      <c r="G255" s="153"/>
      <c r="H255" s="154" t="str">
        <f t="shared" si="6"/>
        <v/>
      </c>
      <c r="I25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5" s="165"/>
      <c r="K255" s="165"/>
      <c r="L255" s="166" t="str">
        <f t="shared" si="7"/>
        <v/>
      </c>
    </row>
    <row r="256" spans="2:12" s="117" customFormat="1" ht="20.100000000000001" customHeight="1" x14ac:dyDescent="0.2">
      <c r="B256" s="151"/>
      <c r="C256" s="152"/>
      <c r="D256" s="146"/>
      <c r="E256" s="146"/>
      <c r="F256" s="153"/>
      <c r="G256" s="153"/>
      <c r="H256" s="154" t="str">
        <f t="shared" si="6"/>
        <v/>
      </c>
      <c r="I25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6" s="165"/>
      <c r="K256" s="165"/>
      <c r="L256" s="166" t="str">
        <f t="shared" si="7"/>
        <v/>
      </c>
    </row>
    <row r="257" spans="2:12" s="117" customFormat="1" ht="20.100000000000001" customHeight="1" x14ac:dyDescent="0.2">
      <c r="B257" s="151"/>
      <c r="C257" s="152"/>
      <c r="D257" s="146"/>
      <c r="E257" s="146"/>
      <c r="F257" s="153"/>
      <c r="G257" s="153"/>
      <c r="H257" s="154" t="str">
        <f t="shared" si="6"/>
        <v/>
      </c>
      <c r="I25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7" s="165"/>
      <c r="K257" s="165"/>
      <c r="L257" s="166" t="str">
        <f t="shared" si="7"/>
        <v/>
      </c>
    </row>
    <row r="258" spans="2:12" s="117" customFormat="1" ht="20.100000000000001" customHeight="1" x14ac:dyDescent="0.2">
      <c r="B258" s="151"/>
      <c r="C258" s="152"/>
      <c r="D258" s="146"/>
      <c r="E258" s="146"/>
      <c r="F258" s="153"/>
      <c r="G258" s="153"/>
      <c r="H258" s="154" t="str">
        <f t="shared" si="6"/>
        <v/>
      </c>
      <c r="I25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8" s="165"/>
      <c r="K258" s="165"/>
      <c r="L258" s="166" t="str">
        <f t="shared" si="7"/>
        <v/>
      </c>
    </row>
    <row r="259" spans="2:12" s="117" customFormat="1" ht="20.100000000000001" customHeight="1" x14ac:dyDescent="0.2">
      <c r="B259" s="151"/>
      <c r="C259" s="152"/>
      <c r="D259" s="146"/>
      <c r="E259" s="146"/>
      <c r="F259" s="153"/>
      <c r="G259" s="153"/>
      <c r="H259" s="154" t="str">
        <f t="shared" si="6"/>
        <v/>
      </c>
      <c r="I25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59" s="165"/>
      <c r="K259" s="165"/>
      <c r="L259" s="166" t="str">
        <f t="shared" si="7"/>
        <v/>
      </c>
    </row>
    <row r="260" spans="2:12" s="117" customFormat="1" ht="20.100000000000001" customHeight="1" x14ac:dyDescent="0.2">
      <c r="B260" s="151"/>
      <c r="C260" s="152"/>
      <c r="D260" s="146"/>
      <c r="E260" s="146"/>
      <c r="F260" s="153"/>
      <c r="G260" s="153"/>
      <c r="H260" s="154" t="str">
        <f t="shared" si="6"/>
        <v/>
      </c>
      <c r="I26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0" s="165"/>
      <c r="K260" s="165"/>
      <c r="L260" s="166" t="str">
        <f t="shared" si="7"/>
        <v/>
      </c>
    </row>
    <row r="261" spans="2:12" s="117" customFormat="1" ht="20.100000000000001" customHeight="1" x14ac:dyDescent="0.2">
      <c r="B261" s="151"/>
      <c r="C261" s="152"/>
      <c r="D261" s="146"/>
      <c r="E261" s="146"/>
      <c r="F261" s="153"/>
      <c r="G261" s="153"/>
      <c r="H261" s="154" t="str">
        <f t="shared" ref="H261:H324" si="8">IFERROR(G261/F261,"")</f>
        <v/>
      </c>
      <c r="I26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1" s="165"/>
      <c r="K261" s="165"/>
      <c r="L261" s="166" t="str">
        <f t="shared" ref="L261:L324" si="9">IFERROR(K261/J261,"")</f>
        <v/>
      </c>
    </row>
    <row r="262" spans="2:12" s="117" customFormat="1" ht="20.100000000000001" customHeight="1" x14ac:dyDescent="0.2">
      <c r="B262" s="151"/>
      <c r="C262" s="152"/>
      <c r="D262" s="146"/>
      <c r="E262" s="146"/>
      <c r="F262" s="153"/>
      <c r="G262" s="153"/>
      <c r="H262" s="154" t="str">
        <f t="shared" si="8"/>
        <v/>
      </c>
      <c r="I26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2" s="165"/>
      <c r="K262" s="165"/>
      <c r="L262" s="166" t="str">
        <f t="shared" si="9"/>
        <v/>
      </c>
    </row>
    <row r="263" spans="2:12" s="117" customFormat="1" ht="20.100000000000001" customHeight="1" x14ac:dyDescent="0.2">
      <c r="B263" s="151"/>
      <c r="C263" s="152"/>
      <c r="D263" s="146"/>
      <c r="E263" s="146"/>
      <c r="F263" s="153"/>
      <c r="G263" s="153"/>
      <c r="H263" s="154" t="str">
        <f t="shared" si="8"/>
        <v/>
      </c>
      <c r="I26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3" s="165"/>
      <c r="K263" s="165"/>
      <c r="L263" s="166" t="str">
        <f t="shared" si="9"/>
        <v/>
      </c>
    </row>
    <row r="264" spans="2:12" s="117" customFormat="1" ht="20.100000000000001" customHeight="1" x14ac:dyDescent="0.2">
      <c r="B264" s="151"/>
      <c r="C264" s="152"/>
      <c r="D264" s="146"/>
      <c r="E264" s="146"/>
      <c r="F264" s="153"/>
      <c r="G264" s="153"/>
      <c r="H264" s="154" t="str">
        <f t="shared" si="8"/>
        <v/>
      </c>
      <c r="I26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4" s="165"/>
      <c r="K264" s="165"/>
      <c r="L264" s="166" t="str">
        <f t="shared" si="9"/>
        <v/>
      </c>
    </row>
    <row r="265" spans="2:12" s="117" customFormat="1" ht="20.100000000000001" customHeight="1" x14ac:dyDescent="0.2">
      <c r="B265" s="151"/>
      <c r="C265" s="152"/>
      <c r="D265" s="146"/>
      <c r="E265" s="146"/>
      <c r="F265" s="153"/>
      <c r="G265" s="153"/>
      <c r="H265" s="154" t="str">
        <f t="shared" si="8"/>
        <v/>
      </c>
      <c r="I26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5" s="165"/>
      <c r="K265" s="165"/>
      <c r="L265" s="166" t="str">
        <f t="shared" si="9"/>
        <v/>
      </c>
    </row>
    <row r="266" spans="2:12" s="117" customFormat="1" ht="20.100000000000001" customHeight="1" x14ac:dyDescent="0.2">
      <c r="B266" s="151"/>
      <c r="C266" s="152"/>
      <c r="D266" s="146"/>
      <c r="E266" s="146"/>
      <c r="F266" s="153"/>
      <c r="G266" s="153"/>
      <c r="H266" s="154" t="str">
        <f t="shared" si="8"/>
        <v/>
      </c>
      <c r="I26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6" s="165"/>
      <c r="K266" s="165"/>
      <c r="L266" s="166" t="str">
        <f t="shared" si="9"/>
        <v/>
      </c>
    </row>
    <row r="267" spans="2:12" s="117" customFormat="1" ht="20.100000000000001" customHeight="1" x14ac:dyDescent="0.2">
      <c r="B267" s="151"/>
      <c r="C267" s="152"/>
      <c r="D267" s="146"/>
      <c r="E267" s="146"/>
      <c r="F267" s="153"/>
      <c r="G267" s="153"/>
      <c r="H267" s="154" t="str">
        <f t="shared" si="8"/>
        <v/>
      </c>
      <c r="I26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7" s="165"/>
      <c r="K267" s="165"/>
      <c r="L267" s="166" t="str">
        <f t="shared" si="9"/>
        <v/>
      </c>
    </row>
    <row r="268" spans="2:12" s="117" customFormat="1" ht="20.100000000000001" customHeight="1" x14ac:dyDescent="0.2">
      <c r="B268" s="151"/>
      <c r="C268" s="152"/>
      <c r="D268" s="146"/>
      <c r="E268" s="146"/>
      <c r="F268" s="153"/>
      <c r="G268" s="153"/>
      <c r="H268" s="154" t="str">
        <f t="shared" si="8"/>
        <v/>
      </c>
      <c r="I26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8" s="165"/>
      <c r="K268" s="165"/>
      <c r="L268" s="166" t="str">
        <f t="shared" si="9"/>
        <v/>
      </c>
    </row>
    <row r="269" spans="2:12" s="117" customFormat="1" ht="20.100000000000001" customHeight="1" x14ac:dyDescent="0.2">
      <c r="B269" s="151"/>
      <c r="C269" s="152"/>
      <c r="D269" s="146"/>
      <c r="E269" s="146"/>
      <c r="F269" s="153"/>
      <c r="G269" s="153"/>
      <c r="H269" s="154" t="str">
        <f t="shared" si="8"/>
        <v/>
      </c>
      <c r="I26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69" s="165"/>
      <c r="K269" s="165"/>
      <c r="L269" s="166" t="str">
        <f t="shared" si="9"/>
        <v/>
      </c>
    </row>
    <row r="270" spans="2:12" s="117" customFormat="1" ht="20.100000000000001" customHeight="1" x14ac:dyDescent="0.2">
      <c r="B270" s="151"/>
      <c r="C270" s="152"/>
      <c r="D270" s="146"/>
      <c r="E270" s="146"/>
      <c r="F270" s="153"/>
      <c r="G270" s="153"/>
      <c r="H270" s="154" t="str">
        <f t="shared" si="8"/>
        <v/>
      </c>
      <c r="I27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0" s="165"/>
      <c r="K270" s="165"/>
      <c r="L270" s="166" t="str">
        <f t="shared" si="9"/>
        <v/>
      </c>
    </row>
    <row r="271" spans="2:12" s="117" customFormat="1" ht="20.100000000000001" customHeight="1" x14ac:dyDescent="0.2">
      <c r="B271" s="151"/>
      <c r="C271" s="152"/>
      <c r="D271" s="146"/>
      <c r="E271" s="146"/>
      <c r="F271" s="153"/>
      <c r="G271" s="153"/>
      <c r="H271" s="154" t="str">
        <f t="shared" si="8"/>
        <v/>
      </c>
      <c r="I27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1" s="165"/>
      <c r="K271" s="165"/>
      <c r="L271" s="166" t="str">
        <f t="shared" si="9"/>
        <v/>
      </c>
    </row>
    <row r="272" spans="2:12" s="117" customFormat="1" ht="20.100000000000001" customHeight="1" x14ac:dyDescent="0.2">
      <c r="B272" s="151"/>
      <c r="C272" s="152"/>
      <c r="D272" s="146"/>
      <c r="E272" s="146"/>
      <c r="F272" s="153"/>
      <c r="G272" s="153"/>
      <c r="H272" s="154" t="str">
        <f t="shared" si="8"/>
        <v/>
      </c>
      <c r="I27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2" s="165"/>
      <c r="K272" s="165"/>
      <c r="L272" s="166" t="str">
        <f t="shared" si="9"/>
        <v/>
      </c>
    </row>
    <row r="273" spans="2:12" s="117" customFormat="1" ht="20.100000000000001" customHeight="1" x14ac:dyDescent="0.2">
      <c r="B273" s="151"/>
      <c r="C273" s="152"/>
      <c r="D273" s="146"/>
      <c r="E273" s="146"/>
      <c r="F273" s="153"/>
      <c r="G273" s="153"/>
      <c r="H273" s="154" t="str">
        <f t="shared" si="8"/>
        <v/>
      </c>
      <c r="I27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3" s="165"/>
      <c r="K273" s="165"/>
      <c r="L273" s="166" t="str">
        <f t="shared" si="9"/>
        <v/>
      </c>
    </row>
    <row r="274" spans="2:12" s="117" customFormat="1" ht="20.100000000000001" customHeight="1" x14ac:dyDescent="0.2">
      <c r="B274" s="151"/>
      <c r="C274" s="152"/>
      <c r="D274" s="146"/>
      <c r="E274" s="146"/>
      <c r="F274" s="153"/>
      <c r="G274" s="153"/>
      <c r="H274" s="154" t="str">
        <f t="shared" si="8"/>
        <v/>
      </c>
      <c r="I27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4" s="165"/>
      <c r="K274" s="165"/>
      <c r="L274" s="166" t="str">
        <f t="shared" si="9"/>
        <v/>
      </c>
    </row>
    <row r="275" spans="2:12" s="117" customFormat="1" ht="20.100000000000001" customHeight="1" x14ac:dyDescent="0.2">
      <c r="B275" s="151"/>
      <c r="C275" s="152"/>
      <c r="D275" s="146"/>
      <c r="E275" s="146"/>
      <c r="F275" s="153"/>
      <c r="G275" s="153"/>
      <c r="H275" s="154" t="str">
        <f t="shared" si="8"/>
        <v/>
      </c>
      <c r="I27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5" s="165"/>
      <c r="K275" s="165"/>
      <c r="L275" s="166" t="str">
        <f t="shared" si="9"/>
        <v/>
      </c>
    </row>
    <row r="276" spans="2:12" s="117" customFormat="1" ht="20.100000000000001" customHeight="1" x14ac:dyDescent="0.2">
      <c r="B276" s="151"/>
      <c r="C276" s="152"/>
      <c r="D276" s="146"/>
      <c r="E276" s="146"/>
      <c r="F276" s="153"/>
      <c r="G276" s="153"/>
      <c r="H276" s="154" t="str">
        <f t="shared" si="8"/>
        <v/>
      </c>
      <c r="I27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6" s="165"/>
      <c r="K276" s="165"/>
      <c r="L276" s="166" t="str">
        <f t="shared" si="9"/>
        <v/>
      </c>
    </row>
    <row r="277" spans="2:12" s="117" customFormat="1" ht="20.100000000000001" customHeight="1" x14ac:dyDescent="0.2">
      <c r="B277" s="151"/>
      <c r="C277" s="152"/>
      <c r="D277" s="146"/>
      <c r="E277" s="146"/>
      <c r="F277" s="153"/>
      <c r="G277" s="153"/>
      <c r="H277" s="154" t="str">
        <f t="shared" si="8"/>
        <v/>
      </c>
      <c r="I27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7" s="165"/>
      <c r="K277" s="165"/>
      <c r="L277" s="166" t="str">
        <f t="shared" si="9"/>
        <v/>
      </c>
    </row>
    <row r="278" spans="2:12" s="117" customFormat="1" ht="20.100000000000001" customHeight="1" x14ac:dyDescent="0.2">
      <c r="B278" s="151"/>
      <c r="C278" s="152"/>
      <c r="D278" s="146"/>
      <c r="E278" s="146"/>
      <c r="F278" s="153"/>
      <c r="G278" s="153"/>
      <c r="H278" s="154" t="str">
        <f t="shared" si="8"/>
        <v/>
      </c>
      <c r="I27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8" s="165"/>
      <c r="K278" s="165"/>
      <c r="L278" s="166" t="str">
        <f t="shared" si="9"/>
        <v/>
      </c>
    </row>
    <row r="279" spans="2:12" s="117" customFormat="1" ht="20.100000000000001" customHeight="1" x14ac:dyDescent="0.2">
      <c r="B279" s="151"/>
      <c r="C279" s="152"/>
      <c r="D279" s="146"/>
      <c r="E279" s="146"/>
      <c r="F279" s="153"/>
      <c r="G279" s="153"/>
      <c r="H279" s="154" t="str">
        <f t="shared" si="8"/>
        <v/>
      </c>
      <c r="I27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79" s="165"/>
      <c r="K279" s="165"/>
      <c r="L279" s="166" t="str">
        <f t="shared" si="9"/>
        <v/>
      </c>
    </row>
    <row r="280" spans="2:12" s="117" customFormat="1" ht="20.100000000000001" customHeight="1" x14ac:dyDescent="0.2">
      <c r="B280" s="151"/>
      <c r="C280" s="152"/>
      <c r="D280" s="146"/>
      <c r="E280" s="146"/>
      <c r="F280" s="153"/>
      <c r="G280" s="153"/>
      <c r="H280" s="154" t="str">
        <f t="shared" si="8"/>
        <v/>
      </c>
      <c r="I28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0" s="165"/>
      <c r="K280" s="165"/>
      <c r="L280" s="166" t="str">
        <f t="shared" si="9"/>
        <v/>
      </c>
    </row>
    <row r="281" spans="2:12" s="117" customFormat="1" ht="20.100000000000001" customHeight="1" x14ac:dyDescent="0.2">
      <c r="B281" s="151"/>
      <c r="C281" s="152"/>
      <c r="D281" s="146"/>
      <c r="E281" s="146"/>
      <c r="F281" s="153"/>
      <c r="G281" s="153"/>
      <c r="H281" s="154" t="str">
        <f t="shared" si="8"/>
        <v/>
      </c>
      <c r="I28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1" s="165"/>
      <c r="K281" s="165"/>
      <c r="L281" s="166" t="str">
        <f t="shared" si="9"/>
        <v/>
      </c>
    </row>
    <row r="282" spans="2:12" s="117" customFormat="1" ht="20.100000000000001" customHeight="1" x14ac:dyDescent="0.2">
      <c r="B282" s="151"/>
      <c r="C282" s="152"/>
      <c r="D282" s="146"/>
      <c r="E282" s="146"/>
      <c r="F282" s="153"/>
      <c r="G282" s="153"/>
      <c r="H282" s="154" t="str">
        <f t="shared" si="8"/>
        <v/>
      </c>
      <c r="I28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2" s="165"/>
      <c r="K282" s="165"/>
      <c r="L282" s="166" t="str">
        <f t="shared" si="9"/>
        <v/>
      </c>
    </row>
    <row r="283" spans="2:12" s="117" customFormat="1" ht="20.100000000000001" customHeight="1" x14ac:dyDescent="0.2">
      <c r="B283" s="151"/>
      <c r="C283" s="152"/>
      <c r="D283" s="146"/>
      <c r="E283" s="146"/>
      <c r="F283" s="153"/>
      <c r="G283" s="153"/>
      <c r="H283" s="154" t="str">
        <f t="shared" si="8"/>
        <v/>
      </c>
      <c r="I28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3" s="165"/>
      <c r="K283" s="165"/>
      <c r="L283" s="166" t="str">
        <f t="shared" si="9"/>
        <v/>
      </c>
    </row>
    <row r="284" spans="2:12" s="117" customFormat="1" ht="20.100000000000001" customHeight="1" x14ac:dyDescent="0.2">
      <c r="B284" s="151"/>
      <c r="C284" s="152"/>
      <c r="D284" s="146"/>
      <c r="E284" s="146"/>
      <c r="F284" s="153"/>
      <c r="G284" s="153"/>
      <c r="H284" s="154" t="str">
        <f t="shared" si="8"/>
        <v/>
      </c>
      <c r="I28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4" s="165"/>
      <c r="K284" s="165"/>
      <c r="L284" s="166" t="str">
        <f t="shared" si="9"/>
        <v/>
      </c>
    </row>
    <row r="285" spans="2:12" s="117" customFormat="1" ht="20.100000000000001" customHeight="1" x14ac:dyDescent="0.2">
      <c r="B285" s="151"/>
      <c r="C285" s="152"/>
      <c r="D285" s="146"/>
      <c r="E285" s="146"/>
      <c r="F285" s="153"/>
      <c r="G285" s="153"/>
      <c r="H285" s="154" t="str">
        <f t="shared" si="8"/>
        <v/>
      </c>
      <c r="I28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5" s="165"/>
      <c r="K285" s="165"/>
      <c r="L285" s="166" t="str">
        <f t="shared" si="9"/>
        <v/>
      </c>
    </row>
    <row r="286" spans="2:12" s="117" customFormat="1" ht="20.100000000000001" customHeight="1" x14ac:dyDescent="0.2">
      <c r="B286" s="151"/>
      <c r="C286" s="152"/>
      <c r="D286" s="146"/>
      <c r="E286" s="146"/>
      <c r="F286" s="153"/>
      <c r="G286" s="153"/>
      <c r="H286" s="154" t="str">
        <f t="shared" si="8"/>
        <v/>
      </c>
      <c r="I28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6" s="165"/>
      <c r="K286" s="165"/>
      <c r="L286" s="166" t="str">
        <f t="shared" si="9"/>
        <v/>
      </c>
    </row>
    <row r="287" spans="2:12" s="117" customFormat="1" ht="20.100000000000001" customHeight="1" x14ac:dyDescent="0.2">
      <c r="B287" s="151"/>
      <c r="C287" s="152"/>
      <c r="D287" s="146"/>
      <c r="E287" s="146"/>
      <c r="F287" s="153"/>
      <c r="G287" s="153"/>
      <c r="H287" s="154" t="str">
        <f t="shared" si="8"/>
        <v/>
      </c>
      <c r="I28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7" s="165"/>
      <c r="K287" s="165"/>
      <c r="L287" s="166" t="str">
        <f t="shared" si="9"/>
        <v/>
      </c>
    </row>
    <row r="288" spans="2:12" s="117" customFormat="1" ht="20.100000000000001" customHeight="1" x14ac:dyDescent="0.2">
      <c r="B288" s="151"/>
      <c r="C288" s="152"/>
      <c r="D288" s="146"/>
      <c r="E288" s="146"/>
      <c r="F288" s="153"/>
      <c r="G288" s="153"/>
      <c r="H288" s="154" t="str">
        <f t="shared" si="8"/>
        <v/>
      </c>
      <c r="I28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8" s="165"/>
      <c r="K288" s="165"/>
      <c r="L288" s="166" t="str">
        <f t="shared" si="9"/>
        <v/>
      </c>
    </row>
    <row r="289" spans="2:12" s="117" customFormat="1" ht="20.100000000000001" customHeight="1" x14ac:dyDescent="0.2">
      <c r="B289" s="151"/>
      <c r="C289" s="152"/>
      <c r="D289" s="146"/>
      <c r="E289" s="146"/>
      <c r="F289" s="153"/>
      <c r="G289" s="153"/>
      <c r="H289" s="154" t="str">
        <f t="shared" si="8"/>
        <v/>
      </c>
      <c r="I28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89" s="165"/>
      <c r="K289" s="165"/>
      <c r="L289" s="166" t="str">
        <f t="shared" si="9"/>
        <v/>
      </c>
    </row>
    <row r="290" spans="2:12" s="117" customFormat="1" ht="20.100000000000001" customHeight="1" x14ac:dyDescent="0.2">
      <c r="B290" s="151"/>
      <c r="C290" s="152"/>
      <c r="D290" s="146"/>
      <c r="E290" s="146"/>
      <c r="F290" s="153"/>
      <c r="G290" s="153"/>
      <c r="H290" s="154" t="str">
        <f t="shared" si="8"/>
        <v/>
      </c>
      <c r="I29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0" s="165"/>
      <c r="K290" s="165"/>
      <c r="L290" s="166" t="str">
        <f t="shared" si="9"/>
        <v/>
      </c>
    </row>
    <row r="291" spans="2:12" s="117" customFormat="1" ht="20.100000000000001" customHeight="1" x14ac:dyDescent="0.2">
      <c r="B291" s="151"/>
      <c r="C291" s="152"/>
      <c r="D291" s="146"/>
      <c r="E291" s="146"/>
      <c r="F291" s="153"/>
      <c r="G291" s="153"/>
      <c r="H291" s="154" t="str">
        <f t="shared" si="8"/>
        <v/>
      </c>
      <c r="I29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1" s="165"/>
      <c r="K291" s="165"/>
      <c r="L291" s="166" t="str">
        <f t="shared" si="9"/>
        <v/>
      </c>
    </row>
    <row r="292" spans="2:12" s="117" customFormat="1" ht="20.100000000000001" customHeight="1" x14ac:dyDescent="0.2">
      <c r="B292" s="151"/>
      <c r="C292" s="152"/>
      <c r="D292" s="146"/>
      <c r="E292" s="146"/>
      <c r="F292" s="153"/>
      <c r="G292" s="153"/>
      <c r="H292" s="154" t="str">
        <f t="shared" si="8"/>
        <v/>
      </c>
      <c r="I29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2" s="165"/>
      <c r="K292" s="165"/>
      <c r="L292" s="166" t="str">
        <f t="shared" si="9"/>
        <v/>
      </c>
    </row>
    <row r="293" spans="2:12" s="117" customFormat="1" ht="20.100000000000001" customHeight="1" x14ac:dyDescent="0.2">
      <c r="B293" s="151"/>
      <c r="C293" s="152"/>
      <c r="D293" s="146"/>
      <c r="E293" s="146"/>
      <c r="F293" s="153"/>
      <c r="G293" s="153"/>
      <c r="H293" s="154" t="str">
        <f t="shared" si="8"/>
        <v/>
      </c>
      <c r="I29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3" s="165"/>
      <c r="K293" s="165"/>
      <c r="L293" s="166" t="str">
        <f t="shared" si="9"/>
        <v/>
      </c>
    </row>
    <row r="294" spans="2:12" s="117" customFormat="1" ht="20.100000000000001" customHeight="1" x14ac:dyDescent="0.2">
      <c r="B294" s="151"/>
      <c r="C294" s="152"/>
      <c r="D294" s="146"/>
      <c r="E294" s="146"/>
      <c r="F294" s="153"/>
      <c r="G294" s="153"/>
      <c r="H294" s="154" t="str">
        <f t="shared" si="8"/>
        <v/>
      </c>
      <c r="I29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4" s="165"/>
      <c r="K294" s="165"/>
      <c r="L294" s="166" t="str">
        <f t="shared" si="9"/>
        <v/>
      </c>
    </row>
    <row r="295" spans="2:12" s="117" customFormat="1" ht="20.100000000000001" customHeight="1" x14ac:dyDescent="0.2">
      <c r="B295" s="151"/>
      <c r="C295" s="152"/>
      <c r="D295" s="146"/>
      <c r="E295" s="146"/>
      <c r="F295" s="153"/>
      <c r="G295" s="153"/>
      <c r="H295" s="154" t="str">
        <f t="shared" si="8"/>
        <v/>
      </c>
      <c r="I29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5" s="165"/>
      <c r="K295" s="165"/>
      <c r="L295" s="166" t="str">
        <f t="shared" si="9"/>
        <v/>
      </c>
    </row>
    <row r="296" spans="2:12" s="117" customFormat="1" ht="20.100000000000001" customHeight="1" x14ac:dyDescent="0.2">
      <c r="B296" s="151"/>
      <c r="C296" s="152"/>
      <c r="D296" s="146"/>
      <c r="E296" s="146"/>
      <c r="F296" s="153"/>
      <c r="G296" s="153"/>
      <c r="H296" s="154" t="str">
        <f t="shared" si="8"/>
        <v/>
      </c>
      <c r="I29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6" s="165"/>
      <c r="K296" s="165"/>
      <c r="L296" s="166" t="str">
        <f t="shared" si="9"/>
        <v/>
      </c>
    </row>
    <row r="297" spans="2:12" s="117" customFormat="1" ht="20.100000000000001" customHeight="1" x14ac:dyDescent="0.2">
      <c r="B297" s="151"/>
      <c r="C297" s="152"/>
      <c r="D297" s="146"/>
      <c r="E297" s="146"/>
      <c r="F297" s="153"/>
      <c r="G297" s="153"/>
      <c r="H297" s="154" t="str">
        <f t="shared" si="8"/>
        <v/>
      </c>
      <c r="I29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7" s="165"/>
      <c r="K297" s="165"/>
      <c r="L297" s="166" t="str">
        <f t="shared" si="9"/>
        <v/>
      </c>
    </row>
    <row r="298" spans="2:12" s="117" customFormat="1" ht="20.100000000000001" customHeight="1" x14ac:dyDescent="0.2">
      <c r="B298" s="151"/>
      <c r="C298" s="152"/>
      <c r="D298" s="146"/>
      <c r="E298" s="146"/>
      <c r="F298" s="153"/>
      <c r="G298" s="153"/>
      <c r="H298" s="154" t="str">
        <f t="shared" si="8"/>
        <v/>
      </c>
      <c r="I29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8" s="165"/>
      <c r="K298" s="165"/>
      <c r="L298" s="166" t="str">
        <f t="shared" si="9"/>
        <v/>
      </c>
    </row>
    <row r="299" spans="2:12" s="117" customFormat="1" ht="20.100000000000001" customHeight="1" x14ac:dyDescent="0.2">
      <c r="B299" s="151"/>
      <c r="C299" s="152"/>
      <c r="D299" s="146"/>
      <c r="E299" s="146"/>
      <c r="F299" s="153"/>
      <c r="G299" s="153"/>
      <c r="H299" s="154" t="str">
        <f t="shared" si="8"/>
        <v/>
      </c>
      <c r="I29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299" s="165"/>
      <c r="K299" s="165"/>
      <c r="L299" s="166" t="str">
        <f t="shared" si="9"/>
        <v/>
      </c>
    </row>
    <row r="300" spans="2:12" s="117" customFormat="1" ht="20.100000000000001" customHeight="1" x14ac:dyDescent="0.2">
      <c r="B300" s="151"/>
      <c r="C300" s="152"/>
      <c r="D300" s="146"/>
      <c r="E300" s="146"/>
      <c r="F300" s="153"/>
      <c r="G300" s="153"/>
      <c r="H300" s="154" t="str">
        <f t="shared" si="8"/>
        <v/>
      </c>
      <c r="I30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0" s="165"/>
      <c r="K300" s="165"/>
      <c r="L300" s="166" t="str">
        <f t="shared" si="9"/>
        <v/>
      </c>
    </row>
    <row r="301" spans="2:12" s="117" customFormat="1" ht="20.100000000000001" customHeight="1" x14ac:dyDescent="0.2">
      <c r="B301" s="151"/>
      <c r="C301" s="152"/>
      <c r="D301" s="146"/>
      <c r="E301" s="146"/>
      <c r="F301" s="153"/>
      <c r="G301" s="153"/>
      <c r="H301" s="154" t="str">
        <f t="shared" si="8"/>
        <v/>
      </c>
      <c r="I30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1" s="165"/>
      <c r="K301" s="165"/>
      <c r="L301" s="166" t="str">
        <f t="shared" si="9"/>
        <v/>
      </c>
    </row>
    <row r="302" spans="2:12" s="117" customFormat="1" ht="20.100000000000001" customHeight="1" x14ac:dyDescent="0.2">
      <c r="B302" s="151"/>
      <c r="C302" s="152"/>
      <c r="D302" s="146"/>
      <c r="E302" s="146"/>
      <c r="F302" s="153"/>
      <c r="G302" s="153"/>
      <c r="H302" s="154" t="str">
        <f t="shared" si="8"/>
        <v/>
      </c>
      <c r="I30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2" s="165"/>
      <c r="K302" s="165"/>
      <c r="L302" s="166" t="str">
        <f t="shared" si="9"/>
        <v/>
      </c>
    </row>
    <row r="303" spans="2:12" s="117" customFormat="1" ht="20.100000000000001" customHeight="1" x14ac:dyDescent="0.2">
      <c r="B303" s="151"/>
      <c r="C303" s="152"/>
      <c r="D303" s="146"/>
      <c r="E303" s="146"/>
      <c r="F303" s="153"/>
      <c r="G303" s="153"/>
      <c r="H303" s="154" t="str">
        <f t="shared" si="8"/>
        <v/>
      </c>
      <c r="I30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3" s="165"/>
      <c r="K303" s="165"/>
      <c r="L303" s="166" t="str">
        <f t="shared" si="9"/>
        <v/>
      </c>
    </row>
    <row r="304" spans="2:12" s="117" customFormat="1" ht="20.100000000000001" customHeight="1" x14ac:dyDescent="0.2">
      <c r="B304" s="151"/>
      <c r="C304" s="152"/>
      <c r="D304" s="146"/>
      <c r="E304" s="146"/>
      <c r="F304" s="153"/>
      <c r="G304" s="153"/>
      <c r="H304" s="154" t="str">
        <f t="shared" si="8"/>
        <v/>
      </c>
      <c r="I30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4" s="165"/>
      <c r="K304" s="165"/>
      <c r="L304" s="166" t="str">
        <f t="shared" si="9"/>
        <v/>
      </c>
    </row>
    <row r="305" spans="2:12" s="117" customFormat="1" ht="20.100000000000001" customHeight="1" x14ac:dyDescent="0.2">
      <c r="B305" s="151"/>
      <c r="C305" s="152"/>
      <c r="D305" s="146"/>
      <c r="E305" s="146"/>
      <c r="F305" s="153"/>
      <c r="G305" s="153"/>
      <c r="H305" s="154" t="str">
        <f t="shared" si="8"/>
        <v/>
      </c>
      <c r="I30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5" s="165"/>
      <c r="K305" s="165"/>
      <c r="L305" s="166" t="str">
        <f t="shared" si="9"/>
        <v/>
      </c>
    </row>
    <row r="306" spans="2:12" s="117" customFormat="1" ht="20.100000000000001" customHeight="1" x14ac:dyDescent="0.2">
      <c r="B306" s="151"/>
      <c r="C306" s="152"/>
      <c r="D306" s="146"/>
      <c r="E306" s="146"/>
      <c r="F306" s="153"/>
      <c r="G306" s="153"/>
      <c r="H306" s="154" t="str">
        <f t="shared" si="8"/>
        <v/>
      </c>
      <c r="I30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6" s="165"/>
      <c r="K306" s="165"/>
      <c r="L306" s="166" t="str">
        <f t="shared" si="9"/>
        <v/>
      </c>
    </row>
    <row r="307" spans="2:12" s="117" customFormat="1" ht="20.100000000000001" customHeight="1" x14ac:dyDescent="0.2">
      <c r="B307" s="151"/>
      <c r="C307" s="152"/>
      <c r="D307" s="146"/>
      <c r="E307" s="146"/>
      <c r="F307" s="153"/>
      <c r="G307" s="153"/>
      <c r="H307" s="154" t="str">
        <f t="shared" si="8"/>
        <v/>
      </c>
      <c r="I30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7" s="165"/>
      <c r="K307" s="165"/>
      <c r="L307" s="166" t="str">
        <f t="shared" si="9"/>
        <v/>
      </c>
    </row>
    <row r="308" spans="2:12" s="117" customFormat="1" ht="20.100000000000001" customHeight="1" x14ac:dyDescent="0.2">
      <c r="B308" s="151"/>
      <c r="C308" s="152"/>
      <c r="D308" s="146"/>
      <c r="E308" s="146"/>
      <c r="F308" s="153"/>
      <c r="G308" s="153"/>
      <c r="H308" s="154" t="str">
        <f t="shared" si="8"/>
        <v/>
      </c>
      <c r="I30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8" s="165"/>
      <c r="K308" s="165"/>
      <c r="L308" s="166" t="str">
        <f t="shared" si="9"/>
        <v/>
      </c>
    </row>
    <row r="309" spans="2:12" s="117" customFormat="1" ht="20.100000000000001" customHeight="1" x14ac:dyDescent="0.2">
      <c r="B309" s="151"/>
      <c r="C309" s="152"/>
      <c r="D309" s="146"/>
      <c r="E309" s="146"/>
      <c r="F309" s="153"/>
      <c r="G309" s="153"/>
      <c r="H309" s="154" t="str">
        <f t="shared" si="8"/>
        <v/>
      </c>
      <c r="I30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09" s="165"/>
      <c r="K309" s="165"/>
      <c r="L309" s="166" t="str">
        <f t="shared" si="9"/>
        <v/>
      </c>
    </row>
    <row r="310" spans="2:12" s="117" customFormat="1" ht="20.100000000000001" customHeight="1" x14ac:dyDescent="0.2">
      <c r="B310" s="151"/>
      <c r="C310" s="152"/>
      <c r="D310" s="146"/>
      <c r="E310" s="146"/>
      <c r="F310" s="153"/>
      <c r="G310" s="153"/>
      <c r="H310" s="154" t="str">
        <f t="shared" si="8"/>
        <v/>
      </c>
      <c r="I31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0" s="165"/>
      <c r="K310" s="165"/>
      <c r="L310" s="166" t="str">
        <f t="shared" si="9"/>
        <v/>
      </c>
    </row>
    <row r="311" spans="2:12" s="117" customFormat="1" ht="20.100000000000001" customHeight="1" x14ac:dyDescent="0.2">
      <c r="B311" s="151"/>
      <c r="C311" s="152"/>
      <c r="D311" s="146"/>
      <c r="E311" s="146"/>
      <c r="F311" s="153"/>
      <c r="G311" s="153"/>
      <c r="H311" s="154" t="str">
        <f t="shared" si="8"/>
        <v/>
      </c>
      <c r="I31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1" s="165"/>
      <c r="K311" s="165"/>
      <c r="L311" s="166" t="str">
        <f t="shared" si="9"/>
        <v/>
      </c>
    </row>
    <row r="312" spans="2:12" s="117" customFormat="1" ht="20.100000000000001" customHeight="1" x14ac:dyDescent="0.2">
      <c r="B312" s="151"/>
      <c r="C312" s="152"/>
      <c r="D312" s="146"/>
      <c r="E312" s="146"/>
      <c r="F312" s="153"/>
      <c r="G312" s="153"/>
      <c r="H312" s="154" t="str">
        <f t="shared" si="8"/>
        <v/>
      </c>
      <c r="I31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2" s="165"/>
      <c r="K312" s="165"/>
      <c r="L312" s="166" t="str">
        <f t="shared" si="9"/>
        <v/>
      </c>
    </row>
    <row r="313" spans="2:12" s="117" customFormat="1" ht="20.100000000000001" customHeight="1" x14ac:dyDescent="0.2">
      <c r="B313" s="151"/>
      <c r="C313" s="152"/>
      <c r="D313" s="146"/>
      <c r="E313" s="146"/>
      <c r="F313" s="153"/>
      <c r="G313" s="153"/>
      <c r="H313" s="154" t="str">
        <f t="shared" si="8"/>
        <v/>
      </c>
      <c r="I31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3" s="165"/>
      <c r="K313" s="165"/>
      <c r="L313" s="166" t="str">
        <f t="shared" si="9"/>
        <v/>
      </c>
    </row>
    <row r="314" spans="2:12" s="117" customFormat="1" ht="20.100000000000001" customHeight="1" x14ac:dyDescent="0.2">
      <c r="B314" s="151"/>
      <c r="C314" s="152"/>
      <c r="D314" s="146"/>
      <c r="E314" s="146"/>
      <c r="F314" s="153"/>
      <c r="G314" s="153"/>
      <c r="H314" s="154" t="str">
        <f t="shared" si="8"/>
        <v/>
      </c>
      <c r="I31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4" s="165"/>
      <c r="K314" s="165"/>
      <c r="L314" s="166" t="str">
        <f t="shared" si="9"/>
        <v/>
      </c>
    </row>
    <row r="315" spans="2:12" s="117" customFormat="1" ht="20.100000000000001" customHeight="1" x14ac:dyDescent="0.2">
      <c r="B315" s="151"/>
      <c r="C315" s="152"/>
      <c r="D315" s="146"/>
      <c r="E315" s="146"/>
      <c r="F315" s="153"/>
      <c r="G315" s="153"/>
      <c r="H315" s="154" t="str">
        <f t="shared" si="8"/>
        <v/>
      </c>
      <c r="I31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5" s="165"/>
      <c r="K315" s="165"/>
      <c r="L315" s="166" t="str">
        <f t="shared" si="9"/>
        <v/>
      </c>
    </row>
    <row r="316" spans="2:12" s="117" customFormat="1" ht="20.100000000000001" customHeight="1" x14ac:dyDescent="0.2">
      <c r="B316" s="151"/>
      <c r="C316" s="152"/>
      <c r="D316" s="146"/>
      <c r="E316" s="146"/>
      <c r="F316" s="153"/>
      <c r="G316" s="153"/>
      <c r="H316" s="154" t="str">
        <f t="shared" si="8"/>
        <v/>
      </c>
      <c r="I31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6" s="165"/>
      <c r="K316" s="165"/>
      <c r="L316" s="166" t="str">
        <f t="shared" si="9"/>
        <v/>
      </c>
    </row>
    <row r="317" spans="2:12" s="117" customFormat="1" ht="20.100000000000001" customHeight="1" x14ac:dyDescent="0.2">
      <c r="B317" s="151"/>
      <c r="C317" s="152"/>
      <c r="D317" s="146"/>
      <c r="E317" s="146"/>
      <c r="F317" s="153"/>
      <c r="G317" s="153"/>
      <c r="H317" s="154" t="str">
        <f t="shared" si="8"/>
        <v/>
      </c>
      <c r="I31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7" s="165"/>
      <c r="K317" s="165"/>
      <c r="L317" s="166" t="str">
        <f t="shared" si="9"/>
        <v/>
      </c>
    </row>
    <row r="318" spans="2:12" s="117" customFormat="1" ht="20.100000000000001" customHeight="1" x14ac:dyDescent="0.2">
      <c r="B318" s="151"/>
      <c r="C318" s="152"/>
      <c r="D318" s="146"/>
      <c r="E318" s="146"/>
      <c r="F318" s="153"/>
      <c r="G318" s="153"/>
      <c r="H318" s="154" t="str">
        <f t="shared" si="8"/>
        <v/>
      </c>
      <c r="I31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8" s="165"/>
      <c r="K318" s="165"/>
      <c r="L318" s="166" t="str">
        <f t="shared" si="9"/>
        <v/>
      </c>
    </row>
    <row r="319" spans="2:12" s="117" customFormat="1" ht="20.100000000000001" customHeight="1" x14ac:dyDescent="0.2">
      <c r="B319" s="151"/>
      <c r="C319" s="152"/>
      <c r="D319" s="146"/>
      <c r="E319" s="146"/>
      <c r="F319" s="153"/>
      <c r="G319" s="153"/>
      <c r="H319" s="154" t="str">
        <f t="shared" si="8"/>
        <v/>
      </c>
      <c r="I31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19" s="165"/>
      <c r="K319" s="165"/>
      <c r="L319" s="166" t="str">
        <f t="shared" si="9"/>
        <v/>
      </c>
    </row>
    <row r="320" spans="2:12" s="117" customFormat="1" ht="20.100000000000001" customHeight="1" x14ac:dyDescent="0.2">
      <c r="B320" s="151"/>
      <c r="C320" s="152"/>
      <c r="D320" s="146"/>
      <c r="E320" s="146"/>
      <c r="F320" s="153"/>
      <c r="G320" s="153"/>
      <c r="H320" s="154" t="str">
        <f t="shared" si="8"/>
        <v/>
      </c>
      <c r="I32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0" s="165"/>
      <c r="K320" s="165"/>
      <c r="L320" s="166" t="str">
        <f t="shared" si="9"/>
        <v/>
      </c>
    </row>
    <row r="321" spans="2:12" s="117" customFormat="1" ht="20.100000000000001" customHeight="1" x14ac:dyDescent="0.2">
      <c r="B321" s="151"/>
      <c r="C321" s="152"/>
      <c r="D321" s="146"/>
      <c r="E321" s="146"/>
      <c r="F321" s="153"/>
      <c r="G321" s="153"/>
      <c r="H321" s="154" t="str">
        <f t="shared" si="8"/>
        <v/>
      </c>
      <c r="I32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1" s="165"/>
      <c r="K321" s="165"/>
      <c r="L321" s="166" t="str">
        <f t="shared" si="9"/>
        <v/>
      </c>
    </row>
    <row r="322" spans="2:12" s="117" customFormat="1" ht="20.100000000000001" customHeight="1" x14ac:dyDescent="0.2">
      <c r="B322" s="151"/>
      <c r="C322" s="152"/>
      <c r="D322" s="146"/>
      <c r="E322" s="146"/>
      <c r="F322" s="153"/>
      <c r="G322" s="153"/>
      <c r="H322" s="154" t="str">
        <f t="shared" si="8"/>
        <v/>
      </c>
      <c r="I32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2" s="165"/>
      <c r="K322" s="165"/>
      <c r="L322" s="166" t="str">
        <f t="shared" si="9"/>
        <v/>
      </c>
    </row>
    <row r="323" spans="2:12" s="117" customFormat="1" ht="20.100000000000001" customHeight="1" x14ac:dyDescent="0.2">
      <c r="B323" s="151"/>
      <c r="C323" s="152"/>
      <c r="D323" s="146"/>
      <c r="E323" s="146"/>
      <c r="F323" s="153"/>
      <c r="G323" s="153"/>
      <c r="H323" s="154" t="str">
        <f t="shared" si="8"/>
        <v/>
      </c>
      <c r="I32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3" s="165"/>
      <c r="K323" s="165"/>
      <c r="L323" s="166" t="str">
        <f t="shared" si="9"/>
        <v/>
      </c>
    </row>
    <row r="324" spans="2:12" s="117" customFormat="1" ht="20.100000000000001" customHeight="1" x14ac:dyDescent="0.2">
      <c r="B324" s="151"/>
      <c r="C324" s="152"/>
      <c r="D324" s="146"/>
      <c r="E324" s="146"/>
      <c r="F324" s="153"/>
      <c r="G324" s="153"/>
      <c r="H324" s="154" t="str">
        <f t="shared" si="8"/>
        <v/>
      </c>
      <c r="I32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4" s="165"/>
      <c r="K324" s="165"/>
      <c r="L324" s="166" t="str">
        <f t="shared" si="9"/>
        <v/>
      </c>
    </row>
    <row r="325" spans="2:12" s="117" customFormat="1" ht="20.100000000000001" customHeight="1" x14ac:dyDescent="0.2">
      <c r="B325" s="151"/>
      <c r="C325" s="152"/>
      <c r="D325" s="146"/>
      <c r="E325" s="146"/>
      <c r="F325" s="153"/>
      <c r="G325" s="153"/>
      <c r="H325" s="154" t="str">
        <f t="shared" ref="H325:H388" si="10">IFERROR(G325/F325,"")</f>
        <v/>
      </c>
      <c r="I32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5" s="165"/>
      <c r="K325" s="165"/>
      <c r="L325" s="166" t="str">
        <f t="shared" ref="L325:L388" si="11">IFERROR(K325/J325,"")</f>
        <v/>
      </c>
    </row>
    <row r="326" spans="2:12" s="117" customFormat="1" ht="20.100000000000001" customHeight="1" x14ac:dyDescent="0.2">
      <c r="B326" s="151"/>
      <c r="C326" s="152"/>
      <c r="D326" s="146"/>
      <c r="E326" s="146"/>
      <c r="F326" s="153"/>
      <c r="G326" s="153"/>
      <c r="H326" s="154" t="str">
        <f t="shared" si="10"/>
        <v/>
      </c>
      <c r="I32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6" s="165"/>
      <c r="K326" s="165"/>
      <c r="L326" s="166" t="str">
        <f t="shared" si="11"/>
        <v/>
      </c>
    </row>
    <row r="327" spans="2:12" s="117" customFormat="1" ht="20.100000000000001" customHeight="1" x14ac:dyDescent="0.2">
      <c r="B327" s="151"/>
      <c r="C327" s="152"/>
      <c r="D327" s="146"/>
      <c r="E327" s="146"/>
      <c r="F327" s="153"/>
      <c r="G327" s="153"/>
      <c r="H327" s="154" t="str">
        <f t="shared" si="10"/>
        <v/>
      </c>
      <c r="I32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7" s="165"/>
      <c r="K327" s="165"/>
      <c r="L327" s="166" t="str">
        <f t="shared" si="11"/>
        <v/>
      </c>
    </row>
    <row r="328" spans="2:12" s="117" customFormat="1" ht="20.100000000000001" customHeight="1" x14ac:dyDescent="0.2">
      <c r="B328" s="151"/>
      <c r="C328" s="152"/>
      <c r="D328" s="146"/>
      <c r="E328" s="146"/>
      <c r="F328" s="153"/>
      <c r="G328" s="153"/>
      <c r="H328" s="154" t="str">
        <f t="shared" si="10"/>
        <v/>
      </c>
      <c r="I32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8" s="165"/>
      <c r="K328" s="165"/>
      <c r="L328" s="166" t="str">
        <f t="shared" si="11"/>
        <v/>
      </c>
    </row>
    <row r="329" spans="2:12" s="117" customFormat="1" ht="20.100000000000001" customHeight="1" x14ac:dyDescent="0.2">
      <c r="B329" s="151"/>
      <c r="C329" s="152"/>
      <c r="D329" s="146"/>
      <c r="E329" s="146"/>
      <c r="F329" s="153"/>
      <c r="G329" s="153"/>
      <c r="H329" s="154" t="str">
        <f t="shared" si="10"/>
        <v/>
      </c>
      <c r="I32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29" s="165"/>
      <c r="K329" s="165"/>
      <c r="L329" s="166" t="str">
        <f t="shared" si="11"/>
        <v/>
      </c>
    </row>
    <row r="330" spans="2:12" s="117" customFormat="1" ht="20.100000000000001" customHeight="1" x14ac:dyDescent="0.2">
      <c r="B330" s="151"/>
      <c r="C330" s="152"/>
      <c r="D330" s="146"/>
      <c r="E330" s="146"/>
      <c r="F330" s="153"/>
      <c r="G330" s="153"/>
      <c r="H330" s="154" t="str">
        <f t="shared" si="10"/>
        <v/>
      </c>
      <c r="I33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0" s="165"/>
      <c r="K330" s="165"/>
      <c r="L330" s="166" t="str">
        <f t="shared" si="11"/>
        <v/>
      </c>
    </row>
    <row r="331" spans="2:12" s="117" customFormat="1" ht="20.100000000000001" customHeight="1" x14ac:dyDescent="0.2">
      <c r="B331" s="151"/>
      <c r="C331" s="152"/>
      <c r="D331" s="146"/>
      <c r="E331" s="146"/>
      <c r="F331" s="153"/>
      <c r="G331" s="153"/>
      <c r="H331" s="154" t="str">
        <f t="shared" si="10"/>
        <v/>
      </c>
      <c r="I33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1" s="165"/>
      <c r="K331" s="165"/>
      <c r="L331" s="166" t="str">
        <f t="shared" si="11"/>
        <v/>
      </c>
    </row>
    <row r="332" spans="2:12" s="117" customFormat="1" ht="20.100000000000001" customHeight="1" x14ac:dyDescent="0.2">
      <c r="B332" s="151"/>
      <c r="C332" s="152"/>
      <c r="D332" s="146"/>
      <c r="E332" s="146"/>
      <c r="F332" s="153"/>
      <c r="G332" s="153"/>
      <c r="H332" s="154" t="str">
        <f t="shared" si="10"/>
        <v/>
      </c>
      <c r="I33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2" s="165"/>
      <c r="K332" s="165"/>
      <c r="L332" s="166" t="str">
        <f t="shared" si="11"/>
        <v/>
      </c>
    </row>
    <row r="333" spans="2:12" s="117" customFormat="1" ht="20.100000000000001" customHeight="1" x14ac:dyDescent="0.2">
      <c r="B333" s="151"/>
      <c r="C333" s="152"/>
      <c r="D333" s="146"/>
      <c r="E333" s="146"/>
      <c r="F333" s="153"/>
      <c r="G333" s="153"/>
      <c r="H333" s="154" t="str">
        <f t="shared" si="10"/>
        <v/>
      </c>
      <c r="I33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3" s="165"/>
      <c r="K333" s="165"/>
      <c r="L333" s="166" t="str">
        <f t="shared" si="11"/>
        <v/>
      </c>
    </row>
    <row r="334" spans="2:12" s="117" customFormat="1" ht="20.100000000000001" customHeight="1" x14ac:dyDescent="0.2">
      <c r="B334" s="151"/>
      <c r="C334" s="152"/>
      <c r="D334" s="146"/>
      <c r="E334" s="146"/>
      <c r="F334" s="153"/>
      <c r="G334" s="153"/>
      <c r="H334" s="154" t="str">
        <f t="shared" si="10"/>
        <v/>
      </c>
      <c r="I33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4" s="165"/>
      <c r="K334" s="165"/>
      <c r="L334" s="166" t="str">
        <f t="shared" si="11"/>
        <v/>
      </c>
    </row>
    <row r="335" spans="2:12" s="117" customFormat="1" ht="20.100000000000001" customHeight="1" x14ac:dyDescent="0.2">
      <c r="B335" s="151"/>
      <c r="C335" s="152"/>
      <c r="D335" s="146"/>
      <c r="E335" s="146"/>
      <c r="F335" s="153"/>
      <c r="G335" s="153"/>
      <c r="H335" s="154" t="str">
        <f t="shared" si="10"/>
        <v/>
      </c>
      <c r="I33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5" s="165"/>
      <c r="K335" s="165"/>
      <c r="L335" s="166" t="str">
        <f t="shared" si="11"/>
        <v/>
      </c>
    </row>
    <row r="336" spans="2:12" s="117" customFormat="1" ht="20.100000000000001" customHeight="1" x14ac:dyDescent="0.2">
      <c r="B336" s="151"/>
      <c r="C336" s="152"/>
      <c r="D336" s="146"/>
      <c r="E336" s="146"/>
      <c r="F336" s="153"/>
      <c r="G336" s="153"/>
      <c r="H336" s="154" t="str">
        <f t="shared" si="10"/>
        <v/>
      </c>
      <c r="I33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6" s="165"/>
      <c r="K336" s="165"/>
      <c r="L336" s="166" t="str">
        <f t="shared" si="11"/>
        <v/>
      </c>
    </row>
    <row r="337" spans="2:12" s="117" customFormat="1" ht="20.100000000000001" customHeight="1" x14ac:dyDescent="0.2">
      <c r="B337" s="151"/>
      <c r="C337" s="152"/>
      <c r="D337" s="146"/>
      <c r="E337" s="146"/>
      <c r="F337" s="153"/>
      <c r="G337" s="153"/>
      <c r="H337" s="154" t="str">
        <f t="shared" si="10"/>
        <v/>
      </c>
      <c r="I33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7" s="165"/>
      <c r="K337" s="165"/>
      <c r="L337" s="166" t="str">
        <f t="shared" si="11"/>
        <v/>
      </c>
    </row>
    <row r="338" spans="2:12" s="117" customFormat="1" ht="20.100000000000001" customHeight="1" x14ac:dyDescent="0.2">
      <c r="B338" s="151"/>
      <c r="C338" s="152"/>
      <c r="D338" s="146"/>
      <c r="E338" s="146"/>
      <c r="F338" s="153"/>
      <c r="G338" s="153"/>
      <c r="H338" s="154" t="str">
        <f t="shared" si="10"/>
        <v/>
      </c>
      <c r="I33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8" s="165"/>
      <c r="K338" s="165"/>
      <c r="L338" s="166" t="str">
        <f t="shared" si="11"/>
        <v/>
      </c>
    </row>
    <row r="339" spans="2:12" s="117" customFormat="1" ht="20.100000000000001" customHeight="1" x14ac:dyDescent="0.2">
      <c r="B339" s="151"/>
      <c r="C339" s="152"/>
      <c r="D339" s="146"/>
      <c r="E339" s="146"/>
      <c r="F339" s="153"/>
      <c r="G339" s="153"/>
      <c r="H339" s="154" t="str">
        <f t="shared" si="10"/>
        <v/>
      </c>
      <c r="I33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39" s="165"/>
      <c r="K339" s="165"/>
      <c r="L339" s="166" t="str">
        <f t="shared" si="11"/>
        <v/>
      </c>
    </row>
    <row r="340" spans="2:12" s="117" customFormat="1" ht="20.100000000000001" customHeight="1" x14ac:dyDescent="0.2">
      <c r="B340" s="151"/>
      <c r="C340" s="152"/>
      <c r="D340" s="146"/>
      <c r="E340" s="146"/>
      <c r="F340" s="153"/>
      <c r="G340" s="153"/>
      <c r="H340" s="154" t="str">
        <f t="shared" si="10"/>
        <v/>
      </c>
      <c r="I34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0" s="165"/>
      <c r="K340" s="165"/>
      <c r="L340" s="166" t="str">
        <f t="shared" si="11"/>
        <v/>
      </c>
    </row>
    <row r="341" spans="2:12" s="117" customFormat="1" ht="20.100000000000001" customHeight="1" x14ac:dyDescent="0.2">
      <c r="B341" s="151"/>
      <c r="C341" s="152"/>
      <c r="D341" s="146"/>
      <c r="E341" s="146"/>
      <c r="F341" s="153"/>
      <c r="G341" s="153"/>
      <c r="H341" s="154" t="str">
        <f t="shared" si="10"/>
        <v/>
      </c>
      <c r="I34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1" s="165"/>
      <c r="K341" s="165"/>
      <c r="L341" s="166" t="str">
        <f t="shared" si="11"/>
        <v/>
      </c>
    </row>
    <row r="342" spans="2:12" s="117" customFormat="1" ht="20.100000000000001" customHeight="1" x14ac:dyDescent="0.2">
      <c r="B342" s="151"/>
      <c r="C342" s="152"/>
      <c r="D342" s="146"/>
      <c r="E342" s="146"/>
      <c r="F342" s="153"/>
      <c r="G342" s="153"/>
      <c r="H342" s="154" t="str">
        <f t="shared" si="10"/>
        <v/>
      </c>
      <c r="I34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2" s="165"/>
      <c r="K342" s="165"/>
      <c r="L342" s="166" t="str">
        <f t="shared" si="11"/>
        <v/>
      </c>
    </row>
    <row r="343" spans="2:12" s="117" customFormat="1" ht="20.100000000000001" customHeight="1" x14ac:dyDescent="0.2">
      <c r="B343" s="151"/>
      <c r="C343" s="152"/>
      <c r="D343" s="146"/>
      <c r="E343" s="146"/>
      <c r="F343" s="153"/>
      <c r="G343" s="153"/>
      <c r="H343" s="154" t="str">
        <f t="shared" si="10"/>
        <v/>
      </c>
      <c r="I34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3" s="165"/>
      <c r="K343" s="165"/>
      <c r="L343" s="166" t="str">
        <f t="shared" si="11"/>
        <v/>
      </c>
    </row>
    <row r="344" spans="2:12" s="117" customFormat="1" ht="20.100000000000001" customHeight="1" x14ac:dyDescent="0.2">
      <c r="B344" s="151"/>
      <c r="C344" s="152"/>
      <c r="D344" s="146"/>
      <c r="E344" s="146"/>
      <c r="F344" s="153"/>
      <c r="G344" s="153"/>
      <c r="H344" s="154" t="str">
        <f t="shared" si="10"/>
        <v/>
      </c>
      <c r="I34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4" s="165"/>
      <c r="K344" s="165"/>
      <c r="L344" s="166" t="str">
        <f t="shared" si="11"/>
        <v/>
      </c>
    </row>
    <row r="345" spans="2:12" s="117" customFormat="1" ht="20.100000000000001" customHeight="1" x14ac:dyDescent="0.2">
      <c r="B345" s="151"/>
      <c r="C345" s="152"/>
      <c r="D345" s="146"/>
      <c r="E345" s="146"/>
      <c r="F345" s="153"/>
      <c r="G345" s="153"/>
      <c r="H345" s="154" t="str">
        <f t="shared" si="10"/>
        <v/>
      </c>
      <c r="I34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5" s="165"/>
      <c r="K345" s="165"/>
      <c r="L345" s="166" t="str">
        <f t="shared" si="11"/>
        <v/>
      </c>
    </row>
    <row r="346" spans="2:12" s="117" customFormat="1" ht="20.100000000000001" customHeight="1" x14ac:dyDescent="0.2">
      <c r="B346" s="151"/>
      <c r="C346" s="152"/>
      <c r="D346" s="146"/>
      <c r="E346" s="146"/>
      <c r="F346" s="153"/>
      <c r="G346" s="153"/>
      <c r="H346" s="154" t="str">
        <f t="shared" si="10"/>
        <v/>
      </c>
      <c r="I34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6" s="165"/>
      <c r="K346" s="165"/>
      <c r="L346" s="166" t="str">
        <f t="shared" si="11"/>
        <v/>
      </c>
    </row>
    <row r="347" spans="2:12" s="117" customFormat="1" ht="20.100000000000001" customHeight="1" x14ac:dyDescent="0.2">
      <c r="B347" s="151"/>
      <c r="C347" s="152"/>
      <c r="D347" s="146"/>
      <c r="E347" s="146"/>
      <c r="F347" s="153"/>
      <c r="G347" s="153"/>
      <c r="H347" s="154" t="str">
        <f t="shared" si="10"/>
        <v/>
      </c>
      <c r="I34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7" s="165"/>
      <c r="K347" s="165"/>
      <c r="L347" s="166" t="str">
        <f t="shared" si="11"/>
        <v/>
      </c>
    </row>
    <row r="348" spans="2:12" s="117" customFormat="1" ht="20.100000000000001" customHeight="1" x14ac:dyDescent="0.2">
      <c r="B348" s="151"/>
      <c r="C348" s="152"/>
      <c r="D348" s="146"/>
      <c r="E348" s="146"/>
      <c r="F348" s="153"/>
      <c r="G348" s="153"/>
      <c r="H348" s="154" t="str">
        <f t="shared" si="10"/>
        <v/>
      </c>
      <c r="I34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8" s="165"/>
      <c r="K348" s="165"/>
      <c r="L348" s="166" t="str">
        <f t="shared" si="11"/>
        <v/>
      </c>
    </row>
    <row r="349" spans="2:12" s="117" customFormat="1" ht="20.100000000000001" customHeight="1" x14ac:dyDescent="0.2">
      <c r="B349" s="151"/>
      <c r="C349" s="152"/>
      <c r="D349" s="146"/>
      <c r="E349" s="146"/>
      <c r="F349" s="153"/>
      <c r="G349" s="153"/>
      <c r="H349" s="154" t="str">
        <f t="shared" si="10"/>
        <v/>
      </c>
      <c r="I34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49" s="165"/>
      <c r="K349" s="165"/>
      <c r="L349" s="166" t="str">
        <f t="shared" si="11"/>
        <v/>
      </c>
    </row>
    <row r="350" spans="2:12" s="117" customFormat="1" ht="20.100000000000001" customHeight="1" x14ac:dyDescent="0.2">
      <c r="B350" s="151"/>
      <c r="C350" s="152"/>
      <c r="D350" s="146"/>
      <c r="E350" s="146"/>
      <c r="F350" s="153"/>
      <c r="G350" s="153"/>
      <c r="H350" s="154" t="str">
        <f t="shared" si="10"/>
        <v/>
      </c>
      <c r="I35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0" s="165"/>
      <c r="K350" s="165"/>
      <c r="L350" s="166" t="str">
        <f t="shared" si="11"/>
        <v/>
      </c>
    </row>
    <row r="351" spans="2:12" s="117" customFormat="1" ht="20.100000000000001" customHeight="1" x14ac:dyDescent="0.2">
      <c r="B351" s="151"/>
      <c r="C351" s="152"/>
      <c r="D351" s="146"/>
      <c r="E351" s="146"/>
      <c r="F351" s="153"/>
      <c r="G351" s="153"/>
      <c r="H351" s="154" t="str">
        <f t="shared" si="10"/>
        <v/>
      </c>
      <c r="I35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1" s="165"/>
      <c r="K351" s="165"/>
      <c r="L351" s="166" t="str">
        <f t="shared" si="11"/>
        <v/>
      </c>
    </row>
    <row r="352" spans="2:12" s="117" customFormat="1" ht="20.100000000000001" customHeight="1" x14ac:dyDescent="0.2">
      <c r="B352" s="151"/>
      <c r="C352" s="152"/>
      <c r="D352" s="146"/>
      <c r="E352" s="146"/>
      <c r="F352" s="153"/>
      <c r="G352" s="153"/>
      <c r="H352" s="154" t="str">
        <f t="shared" si="10"/>
        <v/>
      </c>
      <c r="I35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2" s="165"/>
      <c r="K352" s="165"/>
      <c r="L352" s="166" t="str">
        <f t="shared" si="11"/>
        <v/>
      </c>
    </row>
    <row r="353" spans="2:12" s="117" customFormat="1" ht="20.100000000000001" customHeight="1" x14ac:dyDescent="0.2">
      <c r="B353" s="151"/>
      <c r="C353" s="152"/>
      <c r="D353" s="146"/>
      <c r="E353" s="146"/>
      <c r="F353" s="153"/>
      <c r="G353" s="153"/>
      <c r="H353" s="154" t="str">
        <f t="shared" si="10"/>
        <v/>
      </c>
      <c r="I35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3" s="165"/>
      <c r="K353" s="165"/>
      <c r="L353" s="166" t="str">
        <f t="shared" si="11"/>
        <v/>
      </c>
    </row>
    <row r="354" spans="2:12" s="117" customFormat="1" ht="20.100000000000001" customHeight="1" x14ac:dyDescent="0.2">
      <c r="B354" s="151"/>
      <c r="C354" s="152"/>
      <c r="D354" s="146"/>
      <c r="E354" s="146"/>
      <c r="F354" s="153"/>
      <c r="G354" s="153"/>
      <c r="H354" s="154" t="str">
        <f t="shared" si="10"/>
        <v/>
      </c>
      <c r="I35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4" s="165"/>
      <c r="K354" s="165"/>
      <c r="L354" s="166" t="str">
        <f t="shared" si="11"/>
        <v/>
      </c>
    </row>
    <row r="355" spans="2:12" s="117" customFormat="1" ht="20.100000000000001" customHeight="1" x14ac:dyDescent="0.2">
      <c r="B355" s="151"/>
      <c r="C355" s="152"/>
      <c r="D355" s="146"/>
      <c r="E355" s="146"/>
      <c r="F355" s="153"/>
      <c r="G355" s="153"/>
      <c r="H355" s="154" t="str">
        <f t="shared" si="10"/>
        <v/>
      </c>
      <c r="I35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5" s="165"/>
      <c r="K355" s="165"/>
      <c r="L355" s="166" t="str">
        <f t="shared" si="11"/>
        <v/>
      </c>
    </row>
    <row r="356" spans="2:12" s="117" customFormat="1" ht="20.100000000000001" customHeight="1" x14ac:dyDescent="0.2">
      <c r="B356" s="151"/>
      <c r="C356" s="152"/>
      <c r="D356" s="146"/>
      <c r="E356" s="146"/>
      <c r="F356" s="153"/>
      <c r="G356" s="153"/>
      <c r="H356" s="154" t="str">
        <f t="shared" si="10"/>
        <v/>
      </c>
      <c r="I35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6" s="165"/>
      <c r="K356" s="165"/>
      <c r="L356" s="166" t="str">
        <f t="shared" si="11"/>
        <v/>
      </c>
    </row>
    <row r="357" spans="2:12" s="117" customFormat="1" ht="20.100000000000001" customHeight="1" x14ac:dyDescent="0.2">
      <c r="B357" s="151"/>
      <c r="C357" s="152"/>
      <c r="D357" s="146"/>
      <c r="E357" s="146"/>
      <c r="F357" s="153"/>
      <c r="G357" s="153"/>
      <c r="H357" s="154" t="str">
        <f t="shared" si="10"/>
        <v/>
      </c>
      <c r="I35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7" s="165"/>
      <c r="K357" s="165"/>
      <c r="L357" s="166" t="str">
        <f t="shared" si="11"/>
        <v/>
      </c>
    </row>
    <row r="358" spans="2:12" s="117" customFormat="1" ht="20.100000000000001" customHeight="1" x14ac:dyDescent="0.2">
      <c r="B358" s="151"/>
      <c r="C358" s="152"/>
      <c r="D358" s="146"/>
      <c r="E358" s="146"/>
      <c r="F358" s="153"/>
      <c r="G358" s="153"/>
      <c r="H358" s="154" t="str">
        <f t="shared" si="10"/>
        <v/>
      </c>
      <c r="I35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8" s="165"/>
      <c r="K358" s="165"/>
      <c r="L358" s="166" t="str">
        <f t="shared" si="11"/>
        <v/>
      </c>
    </row>
    <row r="359" spans="2:12" s="117" customFormat="1" ht="20.100000000000001" customHeight="1" x14ac:dyDescent="0.2">
      <c r="B359" s="151"/>
      <c r="C359" s="152"/>
      <c r="D359" s="146"/>
      <c r="E359" s="146"/>
      <c r="F359" s="153"/>
      <c r="G359" s="153"/>
      <c r="H359" s="154" t="str">
        <f t="shared" si="10"/>
        <v/>
      </c>
      <c r="I35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59" s="165"/>
      <c r="K359" s="165"/>
      <c r="L359" s="166" t="str">
        <f t="shared" si="11"/>
        <v/>
      </c>
    </row>
    <row r="360" spans="2:12" s="117" customFormat="1" ht="20.100000000000001" customHeight="1" x14ac:dyDescent="0.2">
      <c r="B360" s="151"/>
      <c r="C360" s="152"/>
      <c r="D360" s="146"/>
      <c r="E360" s="146"/>
      <c r="F360" s="153"/>
      <c r="G360" s="153"/>
      <c r="H360" s="154" t="str">
        <f t="shared" si="10"/>
        <v/>
      </c>
      <c r="I36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0" s="165"/>
      <c r="K360" s="165"/>
      <c r="L360" s="166" t="str">
        <f t="shared" si="11"/>
        <v/>
      </c>
    </row>
    <row r="361" spans="2:12" s="117" customFormat="1" ht="20.100000000000001" customHeight="1" x14ac:dyDescent="0.2">
      <c r="B361" s="151"/>
      <c r="C361" s="152"/>
      <c r="D361" s="146"/>
      <c r="E361" s="146"/>
      <c r="F361" s="153"/>
      <c r="G361" s="153"/>
      <c r="H361" s="154" t="str">
        <f t="shared" si="10"/>
        <v/>
      </c>
      <c r="I36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1" s="165"/>
      <c r="K361" s="165"/>
      <c r="L361" s="166" t="str">
        <f t="shared" si="11"/>
        <v/>
      </c>
    </row>
    <row r="362" spans="2:12" s="117" customFormat="1" ht="20.100000000000001" customHeight="1" x14ac:dyDescent="0.2">
      <c r="B362" s="151"/>
      <c r="C362" s="152"/>
      <c r="D362" s="146"/>
      <c r="E362" s="146"/>
      <c r="F362" s="153"/>
      <c r="G362" s="153"/>
      <c r="H362" s="154" t="str">
        <f t="shared" si="10"/>
        <v/>
      </c>
      <c r="I36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2" s="165"/>
      <c r="K362" s="165"/>
      <c r="L362" s="166" t="str">
        <f t="shared" si="11"/>
        <v/>
      </c>
    </row>
    <row r="363" spans="2:12" s="117" customFormat="1" ht="20.100000000000001" customHeight="1" x14ac:dyDescent="0.2">
      <c r="B363" s="151"/>
      <c r="C363" s="152"/>
      <c r="D363" s="146"/>
      <c r="E363" s="146"/>
      <c r="F363" s="153"/>
      <c r="G363" s="153"/>
      <c r="H363" s="154" t="str">
        <f t="shared" si="10"/>
        <v/>
      </c>
      <c r="I36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3" s="165"/>
      <c r="K363" s="165"/>
      <c r="L363" s="166" t="str">
        <f t="shared" si="11"/>
        <v/>
      </c>
    </row>
    <row r="364" spans="2:12" s="117" customFormat="1" ht="20.100000000000001" customHeight="1" x14ac:dyDescent="0.2">
      <c r="B364" s="151"/>
      <c r="C364" s="152"/>
      <c r="D364" s="146"/>
      <c r="E364" s="146"/>
      <c r="F364" s="153"/>
      <c r="G364" s="153"/>
      <c r="H364" s="154" t="str">
        <f t="shared" si="10"/>
        <v/>
      </c>
      <c r="I36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4" s="165"/>
      <c r="K364" s="165"/>
      <c r="L364" s="166" t="str">
        <f t="shared" si="11"/>
        <v/>
      </c>
    </row>
    <row r="365" spans="2:12" s="117" customFormat="1" ht="20.100000000000001" customHeight="1" x14ac:dyDescent="0.2">
      <c r="B365" s="151"/>
      <c r="C365" s="152"/>
      <c r="D365" s="146"/>
      <c r="E365" s="146"/>
      <c r="F365" s="153"/>
      <c r="G365" s="153"/>
      <c r="H365" s="154" t="str">
        <f t="shared" si="10"/>
        <v/>
      </c>
      <c r="I36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5" s="165"/>
      <c r="K365" s="165"/>
      <c r="L365" s="166" t="str">
        <f t="shared" si="11"/>
        <v/>
      </c>
    </row>
    <row r="366" spans="2:12" s="117" customFormat="1" ht="20.100000000000001" customHeight="1" x14ac:dyDescent="0.2">
      <c r="B366" s="151"/>
      <c r="C366" s="152"/>
      <c r="D366" s="146"/>
      <c r="E366" s="146"/>
      <c r="F366" s="153"/>
      <c r="G366" s="153"/>
      <c r="H366" s="154" t="str">
        <f t="shared" si="10"/>
        <v/>
      </c>
      <c r="I36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6" s="165"/>
      <c r="K366" s="165"/>
      <c r="L366" s="166" t="str">
        <f t="shared" si="11"/>
        <v/>
      </c>
    </row>
    <row r="367" spans="2:12" s="117" customFormat="1" ht="20.100000000000001" customHeight="1" x14ac:dyDescent="0.2">
      <c r="B367" s="151"/>
      <c r="C367" s="152"/>
      <c r="D367" s="146"/>
      <c r="E367" s="146"/>
      <c r="F367" s="153"/>
      <c r="G367" s="153"/>
      <c r="H367" s="154" t="str">
        <f t="shared" si="10"/>
        <v/>
      </c>
      <c r="I36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7" s="165"/>
      <c r="K367" s="165"/>
      <c r="L367" s="166" t="str">
        <f t="shared" si="11"/>
        <v/>
      </c>
    </row>
    <row r="368" spans="2:12" s="117" customFormat="1" ht="20.100000000000001" customHeight="1" x14ac:dyDescent="0.2">
      <c r="B368" s="151"/>
      <c r="C368" s="152"/>
      <c r="D368" s="146"/>
      <c r="E368" s="146"/>
      <c r="F368" s="153"/>
      <c r="G368" s="153"/>
      <c r="H368" s="154" t="str">
        <f t="shared" si="10"/>
        <v/>
      </c>
      <c r="I36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8" s="165"/>
      <c r="K368" s="165"/>
      <c r="L368" s="166" t="str">
        <f t="shared" si="11"/>
        <v/>
      </c>
    </row>
    <row r="369" spans="2:12" s="117" customFormat="1" ht="20.100000000000001" customHeight="1" x14ac:dyDescent="0.2">
      <c r="B369" s="151"/>
      <c r="C369" s="152"/>
      <c r="D369" s="146"/>
      <c r="E369" s="146"/>
      <c r="F369" s="153"/>
      <c r="G369" s="153"/>
      <c r="H369" s="154" t="str">
        <f t="shared" si="10"/>
        <v/>
      </c>
      <c r="I36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69" s="165"/>
      <c r="K369" s="165"/>
      <c r="L369" s="166" t="str">
        <f t="shared" si="11"/>
        <v/>
      </c>
    </row>
    <row r="370" spans="2:12" s="117" customFormat="1" ht="20.100000000000001" customHeight="1" x14ac:dyDescent="0.2">
      <c r="B370" s="151"/>
      <c r="C370" s="152"/>
      <c r="D370" s="146"/>
      <c r="E370" s="146"/>
      <c r="F370" s="153"/>
      <c r="G370" s="153"/>
      <c r="H370" s="154" t="str">
        <f t="shared" si="10"/>
        <v/>
      </c>
      <c r="I37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0" s="165"/>
      <c r="K370" s="165"/>
      <c r="L370" s="166" t="str">
        <f t="shared" si="11"/>
        <v/>
      </c>
    </row>
    <row r="371" spans="2:12" s="117" customFormat="1" ht="20.100000000000001" customHeight="1" x14ac:dyDescent="0.2">
      <c r="B371" s="151"/>
      <c r="C371" s="152"/>
      <c r="D371" s="146"/>
      <c r="E371" s="146"/>
      <c r="F371" s="153"/>
      <c r="G371" s="153"/>
      <c r="H371" s="154" t="str">
        <f t="shared" si="10"/>
        <v/>
      </c>
      <c r="I37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1" s="165"/>
      <c r="K371" s="165"/>
      <c r="L371" s="166" t="str">
        <f t="shared" si="11"/>
        <v/>
      </c>
    </row>
    <row r="372" spans="2:12" s="117" customFormat="1" ht="20.100000000000001" customHeight="1" x14ac:dyDescent="0.2">
      <c r="B372" s="151"/>
      <c r="C372" s="152"/>
      <c r="D372" s="146"/>
      <c r="E372" s="146"/>
      <c r="F372" s="153"/>
      <c r="G372" s="153"/>
      <c r="H372" s="154" t="str">
        <f t="shared" si="10"/>
        <v/>
      </c>
      <c r="I37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2" s="165"/>
      <c r="K372" s="165"/>
      <c r="L372" s="166" t="str">
        <f t="shared" si="11"/>
        <v/>
      </c>
    </row>
    <row r="373" spans="2:12" s="117" customFormat="1" ht="20.100000000000001" customHeight="1" x14ac:dyDescent="0.2">
      <c r="B373" s="151"/>
      <c r="C373" s="152"/>
      <c r="D373" s="146"/>
      <c r="E373" s="146"/>
      <c r="F373" s="153"/>
      <c r="G373" s="153"/>
      <c r="H373" s="154" t="str">
        <f t="shared" si="10"/>
        <v/>
      </c>
      <c r="I37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3" s="165"/>
      <c r="K373" s="165"/>
      <c r="L373" s="166" t="str">
        <f t="shared" si="11"/>
        <v/>
      </c>
    </row>
    <row r="374" spans="2:12" s="117" customFormat="1" ht="20.100000000000001" customHeight="1" x14ac:dyDescent="0.2">
      <c r="B374" s="151"/>
      <c r="C374" s="152"/>
      <c r="D374" s="146"/>
      <c r="E374" s="146"/>
      <c r="F374" s="153"/>
      <c r="G374" s="153"/>
      <c r="H374" s="154" t="str">
        <f t="shared" si="10"/>
        <v/>
      </c>
      <c r="I37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4" s="165"/>
      <c r="K374" s="165"/>
      <c r="L374" s="166" t="str">
        <f t="shared" si="11"/>
        <v/>
      </c>
    </row>
    <row r="375" spans="2:12" s="117" customFormat="1" ht="20.100000000000001" customHeight="1" x14ac:dyDescent="0.2">
      <c r="B375" s="151"/>
      <c r="C375" s="152"/>
      <c r="D375" s="146"/>
      <c r="E375" s="146"/>
      <c r="F375" s="153"/>
      <c r="G375" s="153"/>
      <c r="H375" s="154" t="str">
        <f t="shared" si="10"/>
        <v/>
      </c>
      <c r="I37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5" s="165"/>
      <c r="K375" s="165"/>
      <c r="L375" s="166" t="str">
        <f t="shared" si="11"/>
        <v/>
      </c>
    </row>
    <row r="376" spans="2:12" s="117" customFormat="1" ht="20.100000000000001" customHeight="1" x14ac:dyDescent="0.2">
      <c r="B376" s="151"/>
      <c r="C376" s="152"/>
      <c r="D376" s="146"/>
      <c r="E376" s="146"/>
      <c r="F376" s="153"/>
      <c r="G376" s="153"/>
      <c r="H376" s="154" t="str">
        <f t="shared" si="10"/>
        <v/>
      </c>
      <c r="I37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6" s="165"/>
      <c r="K376" s="165"/>
      <c r="L376" s="166" t="str">
        <f t="shared" si="11"/>
        <v/>
      </c>
    </row>
    <row r="377" spans="2:12" s="117" customFormat="1" ht="20.100000000000001" customHeight="1" x14ac:dyDescent="0.2">
      <c r="B377" s="151"/>
      <c r="C377" s="152"/>
      <c r="D377" s="146"/>
      <c r="E377" s="146"/>
      <c r="F377" s="153"/>
      <c r="G377" s="153"/>
      <c r="H377" s="154" t="str">
        <f t="shared" si="10"/>
        <v/>
      </c>
      <c r="I37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7" s="165"/>
      <c r="K377" s="165"/>
      <c r="L377" s="166" t="str">
        <f t="shared" si="11"/>
        <v/>
      </c>
    </row>
    <row r="378" spans="2:12" s="117" customFormat="1" ht="20.100000000000001" customHeight="1" x14ac:dyDescent="0.2">
      <c r="B378" s="151"/>
      <c r="C378" s="152"/>
      <c r="D378" s="146"/>
      <c r="E378" s="146"/>
      <c r="F378" s="153"/>
      <c r="G378" s="153"/>
      <c r="H378" s="154" t="str">
        <f t="shared" si="10"/>
        <v/>
      </c>
      <c r="I37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8" s="165"/>
      <c r="K378" s="165"/>
      <c r="L378" s="166" t="str">
        <f t="shared" si="11"/>
        <v/>
      </c>
    </row>
    <row r="379" spans="2:12" s="117" customFormat="1" ht="20.100000000000001" customHeight="1" x14ac:dyDescent="0.2">
      <c r="B379" s="151"/>
      <c r="C379" s="152"/>
      <c r="D379" s="146"/>
      <c r="E379" s="146"/>
      <c r="F379" s="153"/>
      <c r="G379" s="153"/>
      <c r="H379" s="154" t="str">
        <f t="shared" si="10"/>
        <v/>
      </c>
      <c r="I37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79" s="165"/>
      <c r="K379" s="165"/>
      <c r="L379" s="166" t="str">
        <f t="shared" si="11"/>
        <v/>
      </c>
    </row>
    <row r="380" spans="2:12" s="117" customFormat="1" ht="20.100000000000001" customHeight="1" x14ac:dyDescent="0.2">
      <c r="B380" s="151"/>
      <c r="C380" s="152"/>
      <c r="D380" s="146"/>
      <c r="E380" s="146"/>
      <c r="F380" s="153"/>
      <c r="G380" s="153"/>
      <c r="H380" s="154" t="str">
        <f t="shared" si="10"/>
        <v/>
      </c>
      <c r="I38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0" s="165"/>
      <c r="K380" s="165"/>
      <c r="L380" s="166" t="str">
        <f t="shared" si="11"/>
        <v/>
      </c>
    </row>
    <row r="381" spans="2:12" s="117" customFormat="1" ht="20.100000000000001" customHeight="1" x14ac:dyDescent="0.2">
      <c r="B381" s="151"/>
      <c r="C381" s="152"/>
      <c r="D381" s="146"/>
      <c r="E381" s="146"/>
      <c r="F381" s="153"/>
      <c r="G381" s="153"/>
      <c r="H381" s="154" t="str">
        <f t="shared" si="10"/>
        <v/>
      </c>
      <c r="I38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1" s="165"/>
      <c r="K381" s="165"/>
      <c r="L381" s="166" t="str">
        <f t="shared" si="11"/>
        <v/>
      </c>
    </row>
    <row r="382" spans="2:12" s="117" customFormat="1" ht="20.100000000000001" customHeight="1" x14ac:dyDescent="0.2">
      <c r="B382" s="151"/>
      <c r="C382" s="152"/>
      <c r="D382" s="146"/>
      <c r="E382" s="146"/>
      <c r="F382" s="153"/>
      <c r="G382" s="153"/>
      <c r="H382" s="154" t="str">
        <f t="shared" si="10"/>
        <v/>
      </c>
      <c r="I38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2" s="165"/>
      <c r="K382" s="165"/>
      <c r="L382" s="166" t="str">
        <f t="shared" si="11"/>
        <v/>
      </c>
    </row>
    <row r="383" spans="2:12" s="117" customFormat="1" ht="20.100000000000001" customHeight="1" x14ac:dyDescent="0.2">
      <c r="B383" s="151"/>
      <c r="C383" s="152"/>
      <c r="D383" s="146"/>
      <c r="E383" s="146"/>
      <c r="F383" s="153"/>
      <c r="G383" s="153"/>
      <c r="H383" s="154" t="str">
        <f t="shared" si="10"/>
        <v/>
      </c>
      <c r="I38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3" s="165"/>
      <c r="K383" s="165"/>
      <c r="L383" s="166" t="str">
        <f t="shared" si="11"/>
        <v/>
      </c>
    </row>
    <row r="384" spans="2:12" s="117" customFormat="1" ht="20.100000000000001" customHeight="1" x14ac:dyDescent="0.2">
      <c r="B384" s="151"/>
      <c r="C384" s="152"/>
      <c r="D384" s="146"/>
      <c r="E384" s="146"/>
      <c r="F384" s="153"/>
      <c r="G384" s="153"/>
      <c r="H384" s="154" t="str">
        <f t="shared" si="10"/>
        <v/>
      </c>
      <c r="I38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4" s="165"/>
      <c r="K384" s="165"/>
      <c r="L384" s="166" t="str">
        <f t="shared" si="11"/>
        <v/>
      </c>
    </row>
    <row r="385" spans="2:12" s="117" customFormat="1" ht="20.100000000000001" customHeight="1" x14ac:dyDescent="0.2">
      <c r="B385" s="151"/>
      <c r="C385" s="152"/>
      <c r="D385" s="146"/>
      <c r="E385" s="146"/>
      <c r="F385" s="153"/>
      <c r="G385" s="153"/>
      <c r="H385" s="154" t="str">
        <f t="shared" si="10"/>
        <v/>
      </c>
      <c r="I38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5" s="165"/>
      <c r="K385" s="165"/>
      <c r="L385" s="166" t="str">
        <f t="shared" si="11"/>
        <v/>
      </c>
    </row>
    <row r="386" spans="2:12" s="117" customFormat="1" ht="20.100000000000001" customHeight="1" x14ac:dyDescent="0.2">
      <c r="B386" s="151"/>
      <c r="C386" s="152"/>
      <c r="D386" s="146"/>
      <c r="E386" s="146"/>
      <c r="F386" s="153"/>
      <c r="G386" s="153"/>
      <c r="H386" s="154" t="str">
        <f t="shared" si="10"/>
        <v/>
      </c>
      <c r="I38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6" s="165"/>
      <c r="K386" s="165"/>
      <c r="L386" s="166" t="str">
        <f t="shared" si="11"/>
        <v/>
      </c>
    </row>
    <row r="387" spans="2:12" s="117" customFormat="1" ht="20.100000000000001" customHeight="1" x14ac:dyDescent="0.2">
      <c r="B387" s="151"/>
      <c r="C387" s="152"/>
      <c r="D387" s="146"/>
      <c r="E387" s="146"/>
      <c r="F387" s="153"/>
      <c r="G387" s="153"/>
      <c r="H387" s="154" t="str">
        <f t="shared" si="10"/>
        <v/>
      </c>
      <c r="I38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7" s="165"/>
      <c r="K387" s="165"/>
      <c r="L387" s="166" t="str">
        <f t="shared" si="11"/>
        <v/>
      </c>
    </row>
    <row r="388" spans="2:12" s="117" customFormat="1" ht="20.100000000000001" customHeight="1" x14ac:dyDescent="0.2">
      <c r="B388" s="151"/>
      <c r="C388" s="152"/>
      <c r="D388" s="146"/>
      <c r="E388" s="146"/>
      <c r="F388" s="153"/>
      <c r="G388" s="153"/>
      <c r="H388" s="154" t="str">
        <f t="shared" si="10"/>
        <v/>
      </c>
      <c r="I38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8" s="165"/>
      <c r="K388" s="165"/>
      <c r="L388" s="166" t="str">
        <f t="shared" si="11"/>
        <v/>
      </c>
    </row>
    <row r="389" spans="2:12" s="117" customFormat="1" ht="20.100000000000001" customHeight="1" x14ac:dyDescent="0.2">
      <c r="B389" s="151"/>
      <c r="C389" s="152"/>
      <c r="D389" s="146"/>
      <c r="E389" s="146"/>
      <c r="F389" s="153"/>
      <c r="G389" s="153"/>
      <c r="H389" s="154" t="str">
        <f t="shared" ref="H389:H452" si="12">IFERROR(G389/F389,"")</f>
        <v/>
      </c>
      <c r="I38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89" s="165"/>
      <c r="K389" s="165"/>
      <c r="L389" s="166" t="str">
        <f t="shared" ref="L389:L452" si="13">IFERROR(K389/J389,"")</f>
        <v/>
      </c>
    </row>
    <row r="390" spans="2:12" s="117" customFormat="1" ht="20.100000000000001" customHeight="1" x14ac:dyDescent="0.2">
      <c r="B390" s="151"/>
      <c r="C390" s="152"/>
      <c r="D390" s="146"/>
      <c r="E390" s="146"/>
      <c r="F390" s="153"/>
      <c r="G390" s="153"/>
      <c r="H390" s="154" t="str">
        <f t="shared" si="12"/>
        <v/>
      </c>
      <c r="I39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0" s="165"/>
      <c r="K390" s="165"/>
      <c r="L390" s="166" t="str">
        <f t="shared" si="13"/>
        <v/>
      </c>
    </row>
    <row r="391" spans="2:12" s="117" customFormat="1" ht="20.100000000000001" customHeight="1" x14ac:dyDescent="0.2">
      <c r="B391" s="151"/>
      <c r="C391" s="152"/>
      <c r="D391" s="146"/>
      <c r="E391" s="146"/>
      <c r="F391" s="153"/>
      <c r="G391" s="153"/>
      <c r="H391" s="154" t="str">
        <f t="shared" si="12"/>
        <v/>
      </c>
      <c r="I39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1" s="165"/>
      <c r="K391" s="165"/>
      <c r="L391" s="166" t="str">
        <f t="shared" si="13"/>
        <v/>
      </c>
    </row>
    <row r="392" spans="2:12" s="117" customFormat="1" ht="20.100000000000001" customHeight="1" x14ac:dyDescent="0.2">
      <c r="B392" s="151"/>
      <c r="C392" s="152"/>
      <c r="D392" s="146"/>
      <c r="E392" s="146"/>
      <c r="F392" s="153"/>
      <c r="G392" s="153"/>
      <c r="H392" s="154" t="str">
        <f t="shared" si="12"/>
        <v/>
      </c>
      <c r="I39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2" s="165"/>
      <c r="K392" s="165"/>
      <c r="L392" s="166" t="str">
        <f t="shared" si="13"/>
        <v/>
      </c>
    </row>
    <row r="393" spans="2:12" s="117" customFormat="1" ht="20.100000000000001" customHeight="1" x14ac:dyDescent="0.2">
      <c r="B393" s="151"/>
      <c r="C393" s="152"/>
      <c r="D393" s="146"/>
      <c r="E393" s="146"/>
      <c r="F393" s="153"/>
      <c r="G393" s="153"/>
      <c r="H393" s="154" t="str">
        <f t="shared" si="12"/>
        <v/>
      </c>
      <c r="I39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3" s="165"/>
      <c r="K393" s="165"/>
      <c r="L393" s="166" t="str">
        <f t="shared" si="13"/>
        <v/>
      </c>
    </row>
    <row r="394" spans="2:12" s="117" customFormat="1" ht="20.100000000000001" customHeight="1" x14ac:dyDescent="0.2">
      <c r="B394" s="151"/>
      <c r="C394" s="152"/>
      <c r="D394" s="146"/>
      <c r="E394" s="146"/>
      <c r="F394" s="153"/>
      <c r="G394" s="153"/>
      <c r="H394" s="154" t="str">
        <f t="shared" si="12"/>
        <v/>
      </c>
      <c r="I39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4" s="165"/>
      <c r="K394" s="165"/>
      <c r="L394" s="166" t="str">
        <f t="shared" si="13"/>
        <v/>
      </c>
    </row>
    <row r="395" spans="2:12" s="117" customFormat="1" ht="20.100000000000001" customHeight="1" x14ac:dyDescent="0.2">
      <c r="B395" s="151"/>
      <c r="C395" s="152"/>
      <c r="D395" s="146"/>
      <c r="E395" s="146"/>
      <c r="F395" s="153"/>
      <c r="G395" s="153"/>
      <c r="H395" s="154" t="str">
        <f t="shared" si="12"/>
        <v/>
      </c>
      <c r="I39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5" s="165"/>
      <c r="K395" s="165"/>
      <c r="L395" s="166" t="str">
        <f t="shared" si="13"/>
        <v/>
      </c>
    </row>
    <row r="396" spans="2:12" s="117" customFormat="1" ht="20.100000000000001" customHeight="1" x14ac:dyDescent="0.2">
      <c r="B396" s="151"/>
      <c r="C396" s="152"/>
      <c r="D396" s="146"/>
      <c r="E396" s="146"/>
      <c r="F396" s="153"/>
      <c r="G396" s="153"/>
      <c r="H396" s="154" t="str">
        <f t="shared" si="12"/>
        <v/>
      </c>
      <c r="I39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6" s="165"/>
      <c r="K396" s="165"/>
      <c r="L396" s="166" t="str">
        <f t="shared" si="13"/>
        <v/>
      </c>
    </row>
    <row r="397" spans="2:12" s="117" customFormat="1" ht="20.100000000000001" customHeight="1" x14ac:dyDescent="0.2">
      <c r="B397" s="151"/>
      <c r="C397" s="152"/>
      <c r="D397" s="146"/>
      <c r="E397" s="146"/>
      <c r="F397" s="153"/>
      <c r="G397" s="153"/>
      <c r="H397" s="154" t="str">
        <f t="shared" si="12"/>
        <v/>
      </c>
      <c r="I39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7" s="165"/>
      <c r="K397" s="165"/>
      <c r="L397" s="166" t="str">
        <f t="shared" si="13"/>
        <v/>
      </c>
    </row>
    <row r="398" spans="2:12" s="117" customFormat="1" ht="20.100000000000001" customHeight="1" x14ac:dyDescent="0.2">
      <c r="B398" s="151"/>
      <c r="C398" s="152"/>
      <c r="D398" s="146"/>
      <c r="E398" s="146"/>
      <c r="F398" s="153"/>
      <c r="G398" s="153"/>
      <c r="H398" s="154" t="str">
        <f t="shared" si="12"/>
        <v/>
      </c>
      <c r="I39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8" s="165"/>
      <c r="K398" s="165"/>
      <c r="L398" s="166" t="str">
        <f t="shared" si="13"/>
        <v/>
      </c>
    </row>
    <row r="399" spans="2:12" s="117" customFormat="1" ht="20.100000000000001" customHeight="1" x14ac:dyDescent="0.2">
      <c r="B399" s="151"/>
      <c r="C399" s="152"/>
      <c r="D399" s="146"/>
      <c r="E399" s="146"/>
      <c r="F399" s="153"/>
      <c r="G399" s="153"/>
      <c r="H399" s="154" t="str">
        <f t="shared" si="12"/>
        <v/>
      </c>
      <c r="I39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399" s="165"/>
      <c r="K399" s="165"/>
      <c r="L399" s="166" t="str">
        <f t="shared" si="13"/>
        <v/>
      </c>
    </row>
    <row r="400" spans="2:12" s="117" customFormat="1" ht="20.100000000000001" customHeight="1" x14ac:dyDescent="0.2">
      <c r="B400" s="151"/>
      <c r="C400" s="152"/>
      <c r="D400" s="146"/>
      <c r="E400" s="146"/>
      <c r="F400" s="153"/>
      <c r="G400" s="153"/>
      <c r="H400" s="154" t="str">
        <f t="shared" si="12"/>
        <v/>
      </c>
      <c r="I40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0" s="165"/>
      <c r="K400" s="165"/>
      <c r="L400" s="166" t="str">
        <f t="shared" si="13"/>
        <v/>
      </c>
    </row>
    <row r="401" spans="2:12" s="117" customFormat="1" ht="20.100000000000001" customHeight="1" x14ac:dyDescent="0.2">
      <c r="B401" s="151"/>
      <c r="C401" s="152"/>
      <c r="D401" s="146"/>
      <c r="E401" s="146"/>
      <c r="F401" s="153"/>
      <c r="G401" s="153"/>
      <c r="H401" s="154" t="str">
        <f t="shared" si="12"/>
        <v/>
      </c>
      <c r="I40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1" s="165"/>
      <c r="K401" s="165"/>
      <c r="L401" s="166" t="str">
        <f t="shared" si="13"/>
        <v/>
      </c>
    </row>
    <row r="402" spans="2:12" s="117" customFormat="1" ht="20.100000000000001" customHeight="1" x14ac:dyDescent="0.2">
      <c r="B402" s="151"/>
      <c r="C402" s="152"/>
      <c r="D402" s="146"/>
      <c r="E402" s="146"/>
      <c r="F402" s="153"/>
      <c r="G402" s="153"/>
      <c r="H402" s="154" t="str">
        <f t="shared" si="12"/>
        <v/>
      </c>
      <c r="I40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2" s="165"/>
      <c r="K402" s="165"/>
      <c r="L402" s="166" t="str">
        <f t="shared" si="13"/>
        <v/>
      </c>
    </row>
    <row r="403" spans="2:12" s="117" customFormat="1" ht="20.100000000000001" customHeight="1" x14ac:dyDescent="0.2">
      <c r="B403" s="151"/>
      <c r="C403" s="152"/>
      <c r="D403" s="146"/>
      <c r="E403" s="146"/>
      <c r="F403" s="153"/>
      <c r="G403" s="153"/>
      <c r="H403" s="154" t="str">
        <f t="shared" si="12"/>
        <v/>
      </c>
      <c r="I40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3" s="165"/>
      <c r="K403" s="165"/>
      <c r="L403" s="166" t="str">
        <f t="shared" si="13"/>
        <v/>
      </c>
    </row>
    <row r="404" spans="2:12" s="117" customFormat="1" ht="20.100000000000001" customHeight="1" x14ac:dyDescent="0.2">
      <c r="B404" s="151"/>
      <c r="C404" s="152"/>
      <c r="D404" s="146"/>
      <c r="E404" s="146"/>
      <c r="F404" s="153"/>
      <c r="G404" s="153"/>
      <c r="H404" s="154" t="str">
        <f t="shared" si="12"/>
        <v/>
      </c>
      <c r="I40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4" s="165"/>
      <c r="K404" s="165"/>
      <c r="L404" s="166" t="str">
        <f t="shared" si="13"/>
        <v/>
      </c>
    </row>
    <row r="405" spans="2:12" s="117" customFormat="1" ht="20.100000000000001" customHeight="1" x14ac:dyDescent="0.2">
      <c r="B405" s="151"/>
      <c r="C405" s="152"/>
      <c r="D405" s="146"/>
      <c r="E405" s="146"/>
      <c r="F405" s="153"/>
      <c r="G405" s="153"/>
      <c r="H405" s="154" t="str">
        <f t="shared" si="12"/>
        <v/>
      </c>
      <c r="I40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5" s="165"/>
      <c r="K405" s="165"/>
      <c r="L405" s="166" t="str">
        <f t="shared" si="13"/>
        <v/>
      </c>
    </row>
    <row r="406" spans="2:12" s="117" customFormat="1" ht="20.100000000000001" customHeight="1" x14ac:dyDescent="0.2">
      <c r="B406" s="151"/>
      <c r="C406" s="152"/>
      <c r="D406" s="146"/>
      <c r="E406" s="146"/>
      <c r="F406" s="153"/>
      <c r="G406" s="153"/>
      <c r="H406" s="154" t="str">
        <f t="shared" si="12"/>
        <v/>
      </c>
      <c r="I40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6" s="165"/>
      <c r="K406" s="165"/>
      <c r="L406" s="166" t="str">
        <f t="shared" si="13"/>
        <v/>
      </c>
    </row>
    <row r="407" spans="2:12" s="117" customFormat="1" ht="20.100000000000001" customHeight="1" x14ac:dyDescent="0.2">
      <c r="B407" s="151"/>
      <c r="C407" s="152"/>
      <c r="D407" s="146"/>
      <c r="E407" s="146"/>
      <c r="F407" s="153"/>
      <c r="G407" s="153"/>
      <c r="H407" s="154" t="str">
        <f t="shared" si="12"/>
        <v/>
      </c>
      <c r="I40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7" s="165"/>
      <c r="K407" s="165"/>
      <c r="L407" s="166" t="str">
        <f t="shared" si="13"/>
        <v/>
      </c>
    </row>
    <row r="408" spans="2:12" s="117" customFormat="1" ht="20.100000000000001" customHeight="1" x14ac:dyDescent="0.2">
      <c r="B408" s="151"/>
      <c r="C408" s="152"/>
      <c r="D408" s="146"/>
      <c r="E408" s="146"/>
      <c r="F408" s="153"/>
      <c r="G408" s="153"/>
      <c r="H408" s="154" t="str">
        <f t="shared" si="12"/>
        <v/>
      </c>
      <c r="I40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8" s="165"/>
      <c r="K408" s="165"/>
      <c r="L408" s="166" t="str">
        <f t="shared" si="13"/>
        <v/>
      </c>
    </row>
    <row r="409" spans="2:12" s="117" customFormat="1" ht="20.100000000000001" customHeight="1" x14ac:dyDescent="0.2">
      <c r="B409" s="151"/>
      <c r="C409" s="152"/>
      <c r="D409" s="146"/>
      <c r="E409" s="146"/>
      <c r="F409" s="153"/>
      <c r="G409" s="153"/>
      <c r="H409" s="154" t="str">
        <f t="shared" si="12"/>
        <v/>
      </c>
      <c r="I40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09" s="165"/>
      <c r="K409" s="165"/>
      <c r="L409" s="166" t="str">
        <f t="shared" si="13"/>
        <v/>
      </c>
    </row>
    <row r="410" spans="2:12" s="117" customFormat="1" ht="20.100000000000001" customHeight="1" x14ac:dyDescent="0.2">
      <c r="B410" s="151"/>
      <c r="C410" s="152"/>
      <c r="D410" s="146"/>
      <c r="E410" s="146"/>
      <c r="F410" s="153"/>
      <c r="G410" s="153"/>
      <c r="H410" s="154" t="str">
        <f t="shared" si="12"/>
        <v/>
      </c>
      <c r="I41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0" s="165"/>
      <c r="K410" s="165"/>
      <c r="L410" s="166" t="str">
        <f t="shared" si="13"/>
        <v/>
      </c>
    </row>
    <row r="411" spans="2:12" s="117" customFormat="1" ht="20.100000000000001" customHeight="1" x14ac:dyDescent="0.2">
      <c r="B411" s="151"/>
      <c r="C411" s="152"/>
      <c r="D411" s="146"/>
      <c r="E411" s="146"/>
      <c r="F411" s="153"/>
      <c r="G411" s="153"/>
      <c r="H411" s="154" t="str">
        <f t="shared" si="12"/>
        <v/>
      </c>
      <c r="I41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1" s="165"/>
      <c r="K411" s="165"/>
      <c r="L411" s="166" t="str">
        <f t="shared" si="13"/>
        <v/>
      </c>
    </row>
    <row r="412" spans="2:12" s="117" customFormat="1" ht="20.100000000000001" customHeight="1" x14ac:dyDescent="0.2">
      <c r="B412" s="151"/>
      <c r="C412" s="152"/>
      <c r="D412" s="146"/>
      <c r="E412" s="146"/>
      <c r="F412" s="153"/>
      <c r="G412" s="153"/>
      <c r="H412" s="154" t="str">
        <f t="shared" si="12"/>
        <v/>
      </c>
      <c r="I41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2" s="165"/>
      <c r="K412" s="165"/>
      <c r="L412" s="166" t="str">
        <f t="shared" si="13"/>
        <v/>
      </c>
    </row>
    <row r="413" spans="2:12" s="117" customFormat="1" ht="20.100000000000001" customHeight="1" x14ac:dyDescent="0.2">
      <c r="B413" s="151"/>
      <c r="C413" s="152"/>
      <c r="D413" s="146"/>
      <c r="E413" s="146"/>
      <c r="F413" s="153"/>
      <c r="G413" s="153"/>
      <c r="H413" s="154" t="str">
        <f t="shared" si="12"/>
        <v/>
      </c>
      <c r="I41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3" s="165"/>
      <c r="K413" s="165"/>
      <c r="L413" s="166" t="str">
        <f t="shared" si="13"/>
        <v/>
      </c>
    </row>
    <row r="414" spans="2:12" s="117" customFormat="1" ht="20.100000000000001" customHeight="1" x14ac:dyDescent="0.2">
      <c r="B414" s="151"/>
      <c r="C414" s="152"/>
      <c r="D414" s="146"/>
      <c r="E414" s="146"/>
      <c r="F414" s="153"/>
      <c r="G414" s="153"/>
      <c r="H414" s="154" t="str">
        <f t="shared" si="12"/>
        <v/>
      </c>
      <c r="I41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4" s="165"/>
      <c r="K414" s="165"/>
      <c r="L414" s="166" t="str">
        <f t="shared" si="13"/>
        <v/>
      </c>
    </row>
    <row r="415" spans="2:12" s="117" customFormat="1" ht="20.100000000000001" customHeight="1" x14ac:dyDescent="0.2">
      <c r="B415" s="151"/>
      <c r="C415" s="152"/>
      <c r="D415" s="146"/>
      <c r="E415" s="146"/>
      <c r="F415" s="153"/>
      <c r="G415" s="153"/>
      <c r="H415" s="154" t="str">
        <f t="shared" si="12"/>
        <v/>
      </c>
      <c r="I41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5" s="165"/>
      <c r="K415" s="165"/>
      <c r="L415" s="166" t="str">
        <f t="shared" si="13"/>
        <v/>
      </c>
    </row>
    <row r="416" spans="2:12" s="117" customFormat="1" ht="20.100000000000001" customHeight="1" x14ac:dyDescent="0.2">
      <c r="B416" s="151"/>
      <c r="C416" s="152"/>
      <c r="D416" s="146"/>
      <c r="E416" s="146"/>
      <c r="F416" s="153"/>
      <c r="G416" s="153"/>
      <c r="H416" s="154" t="str">
        <f t="shared" si="12"/>
        <v/>
      </c>
      <c r="I41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6" s="165"/>
      <c r="K416" s="165"/>
      <c r="L416" s="166" t="str">
        <f t="shared" si="13"/>
        <v/>
      </c>
    </row>
    <row r="417" spans="2:12" s="117" customFormat="1" ht="20.100000000000001" customHeight="1" x14ac:dyDescent="0.2">
      <c r="B417" s="151"/>
      <c r="C417" s="152"/>
      <c r="D417" s="146"/>
      <c r="E417" s="146"/>
      <c r="F417" s="153"/>
      <c r="G417" s="153"/>
      <c r="H417" s="154" t="str">
        <f t="shared" si="12"/>
        <v/>
      </c>
      <c r="I41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7" s="165"/>
      <c r="K417" s="165"/>
      <c r="L417" s="166" t="str">
        <f t="shared" si="13"/>
        <v/>
      </c>
    </row>
    <row r="418" spans="2:12" s="117" customFormat="1" ht="20.100000000000001" customHeight="1" x14ac:dyDescent="0.2">
      <c r="B418" s="151"/>
      <c r="C418" s="152"/>
      <c r="D418" s="146"/>
      <c r="E418" s="146"/>
      <c r="F418" s="153"/>
      <c r="G418" s="153"/>
      <c r="H418" s="154" t="str">
        <f t="shared" si="12"/>
        <v/>
      </c>
      <c r="I41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8" s="165"/>
      <c r="K418" s="165"/>
      <c r="L418" s="166" t="str">
        <f t="shared" si="13"/>
        <v/>
      </c>
    </row>
    <row r="419" spans="2:12" s="117" customFormat="1" ht="20.100000000000001" customHeight="1" x14ac:dyDescent="0.2">
      <c r="B419" s="151"/>
      <c r="C419" s="152"/>
      <c r="D419" s="146"/>
      <c r="E419" s="146"/>
      <c r="F419" s="153"/>
      <c r="G419" s="153"/>
      <c r="H419" s="154" t="str">
        <f t="shared" si="12"/>
        <v/>
      </c>
      <c r="I41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19" s="165"/>
      <c r="K419" s="165"/>
      <c r="L419" s="166" t="str">
        <f t="shared" si="13"/>
        <v/>
      </c>
    </row>
    <row r="420" spans="2:12" s="117" customFormat="1" ht="20.100000000000001" customHeight="1" x14ac:dyDescent="0.2">
      <c r="B420" s="151"/>
      <c r="C420" s="152"/>
      <c r="D420" s="146"/>
      <c r="E420" s="146"/>
      <c r="F420" s="153"/>
      <c r="G420" s="153"/>
      <c r="H420" s="154" t="str">
        <f t="shared" si="12"/>
        <v/>
      </c>
      <c r="I42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0" s="165"/>
      <c r="K420" s="165"/>
      <c r="L420" s="166" t="str">
        <f t="shared" si="13"/>
        <v/>
      </c>
    </row>
    <row r="421" spans="2:12" s="117" customFormat="1" ht="20.100000000000001" customHeight="1" x14ac:dyDescent="0.2">
      <c r="B421" s="151"/>
      <c r="C421" s="152"/>
      <c r="D421" s="146"/>
      <c r="E421" s="146"/>
      <c r="F421" s="153"/>
      <c r="G421" s="153"/>
      <c r="H421" s="154" t="str">
        <f t="shared" si="12"/>
        <v/>
      </c>
      <c r="I42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1" s="165"/>
      <c r="K421" s="165"/>
      <c r="L421" s="166" t="str">
        <f t="shared" si="13"/>
        <v/>
      </c>
    </row>
    <row r="422" spans="2:12" s="117" customFormat="1" ht="20.100000000000001" customHeight="1" x14ac:dyDescent="0.2">
      <c r="B422" s="151"/>
      <c r="C422" s="152"/>
      <c r="D422" s="146"/>
      <c r="E422" s="146"/>
      <c r="F422" s="153"/>
      <c r="G422" s="153"/>
      <c r="H422" s="154" t="str">
        <f t="shared" si="12"/>
        <v/>
      </c>
      <c r="I42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2" s="165"/>
      <c r="K422" s="165"/>
      <c r="L422" s="166" t="str">
        <f t="shared" si="13"/>
        <v/>
      </c>
    </row>
    <row r="423" spans="2:12" s="117" customFormat="1" ht="20.100000000000001" customHeight="1" x14ac:dyDescent="0.2">
      <c r="B423" s="151"/>
      <c r="C423" s="152"/>
      <c r="D423" s="146"/>
      <c r="E423" s="146"/>
      <c r="F423" s="153"/>
      <c r="G423" s="153"/>
      <c r="H423" s="154" t="str">
        <f t="shared" si="12"/>
        <v/>
      </c>
      <c r="I42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3" s="165"/>
      <c r="K423" s="165"/>
      <c r="L423" s="166" t="str">
        <f t="shared" si="13"/>
        <v/>
      </c>
    </row>
    <row r="424" spans="2:12" s="117" customFormat="1" ht="20.100000000000001" customHeight="1" x14ac:dyDescent="0.2">
      <c r="B424" s="151"/>
      <c r="C424" s="152"/>
      <c r="D424" s="146"/>
      <c r="E424" s="146"/>
      <c r="F424" s="153"/>
      <c r="G424" s="153"/>
      <c r="H424" s="154" t="str">
        <f t="shared" si="12"/>
        <v/>
      </c>
      <c r="I42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4" s="165"/>
      <c r="K424" s="165"/>
      <c r="L424" s="166" t="str">
        <f t="shared" si="13"/>
        <v/>
      </c>
    </row>
    <row r="425" spans="2:12" s="117" customFormat="1" ht="20.100000000000001" customHeight="1" x14ac:dyDescent="0.2">
      <c r="B425" s="151"/>
      <c r="C425" s="152"/>
      <c r="D425" s="146"/>
      <c r="E425" s="146"/>
      <c r="F425" s="153"/>
      <c r="G425" s="153"/>
      <c r="H425" s="154" t="str">
        <f t="shared" si="12"/>
        <v/>
      </c>
      <c r="I42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5" s="165"/>
      <c r="K425" s="165"/>
      <c r="L425" s="166" t="str">
        <f t="shared" si="13"/>
        <v/>
      </c>
    </row>
    <row r="426" spans="2:12" s="117" customFormat="1" ht="20.100000000000001" customHeight="1" x14ac:dyDescent="0.2">
      <c r="B426" s="151"/>
      <c r="C426" s="152"/>
      <c r="D426" s="146"/>
      <c r="E426" s="146"/>
      <c r="F426" s="153"/>
      <c r="G426" s="153"/>
      <c r="H426" s="154" t="str">
        <f t="shared" si="12"/>
        <v/>
      </c>
      <c r="I42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6" s="165"/>
      <c r="K426" s="165"/>
      <c r="L426" s="166" t="str">
        <f t="shared" si="13"/>
        <v/>
      </c>
    </row>
    <row r="427" spans="2:12" s="117" customFormat="1" ht="20.100000000000001" customHeight="1" x14ac:dyDescent="0.2">
      <c r="B427" s="151"/>
      <c r="C427" s="152"/>
      <c r="D427" s="146"/>
      <c r="E427" s="146"/>
      <c r="F427" s="153"/>
      <c r="G427" s="153"/>
      <c r="H427" s="154" t="str">
        <f t="shared" si="12"/>
        <v/>
      </c>
      <c r="I42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7" s="165"/>
      <c r="K427" s="165"/>
      <c r="L427" s="166" t="str">
        <f t="shared" si="13"/>
        <v/>
      </c>
    </row>
    <row r="428" spans="2:12" s="117" customFormat="1" ht="20.100000000000001" customHeight="1" x14ac:dyDescent="0.2">
      <c r="B428" s="151"/>
      <c r="C428" s="152"/>
      <c r="D428" s="146"/>
      <c r="E428" s="146"/>
      <c r="F428" s="153"/>
      <c r="G428" s="153"/>
      <c r="H428" s="154" t="str">
        <f t="shared" si="12"/>
        <v/>
      </c>
      <c r="I42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8" s="165"/>
      <c r="K428" s="165"/>
      <c r="L428" s="166" t="str">
        <f t="shared" si="13"/>
        <v/>
      </c>
    </row>
    <row r="429" spans="2:12" s="117" customFormat="1" ht="20.100000000000001" customHeight="1" x14ac:dyDescent="0.2">
      <c r="B429" s="151"/>
      <c r="C429" s="152"/>
      <c r="D429" s="146"/>
      <c r="E429" s="146"/>
      <c r="F429" s="153"/>
      <c r="G429" s="153"/>
      <c r="H429" s="154" t="str">
        <f t="shared" si="12"/>
        <v/>
      </c>
      <c r="I42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29" s="165"/>
      <c r="K429" s="165"/>
      <c r="L429" s="166" t="str">
        <f t="shared" si="13"/>
        <v/>
      </c>
    </row>
    <row r="430" spans="2:12" s="117" customFormat="1" ht="20.100000000000001" customHeight="1" x14ac:dyDescent="0.2">
      <c r="B430" s="151"/>
      <c r="C430" s="152"/>
      <c r="D430" s="146"/>
      <c r="E430" s="146"/>
      <c r="F430" s="153"/>
      <c r="G430" s="153"/>
      <c r="H430" s="154" t="str">
        <f t="shared" si="12"/>
        <v/>
      </c>
      <c r="I43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0" s="165"/>
      <c r="K430" s="165"/>
      <c r="L430" s="166" t="str">
        <f t="shared" si="13"/>
        <v/>
      </c>
    </row>
    <row r="431" spans="2:12" s="117" customFormat="1" ht="20.100000000000001" customHeight="1" x14ac:dyDescent="0.2">
      <c r="B431" s="151"/>
      <c r="C431" s="152"/>
      <c r="D431" s="146"/>
      <c r="E431" s="146"/>
      <c r="F431" s="153"/>
      <c r="G431" s="153"/>
      <c r="H431" s="154" t="str">
        <f t="shared" si="12"/>
        <v/>
      </c>
      <c r="I43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1" s="165"/>
      <c r="K431" s="165"/>
      <c r="L431" s="166" t="str">
        <f t="shared" si="13"/>
        <v/>
      </c>
    </row>
    <row r="432" spans="2:12" s="117" customFormat="1" ht="20.100000000000001" customHeight="1" x14ac:dyDescent="0.2">
      <c r="B432" s="151"/>
      <c r="C432" s="152"/>
      <c r="D432" s="146"/>
      <c r="E432" s="146"/>
      <c r="F432" s="153"/>
      <c r="G432" s="153"/>
      <c r="H432" s="154" t="str">
        <f t="shared" si="12"/>
        <v/>
      </c>
      <c r="I43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2" s="165"/>
      <c r="K432" s="165"/>
      <c r="L432" s="166" t="str">
        <f t="shared" si="13"/>
        <v/>
      </c>
    </row>
    <row r="433" spans="2:12" s="117" customFormat="1" ht="20.100000000000001" customHeight="1" x14ac:dyDescent="0.2">
      <c r="B433" s="151"/>
      <c r="C433" s="152"/>
      <c r="D433" s="146"/>
      <c r="E433" s="146"/>
      <c r="F433" s="153"/>
      <c r="G433" s="153"/>
      <c r="H433" s="154" t="str">
        <f t="shared" si="12"/>
        <v/>
      </c>
      <c r="I43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3" s="165"/>
      <c r="K433" s="165"/>
      <c r="L433" s="166" t="str">
        <f t="shared" si="13"/>
        <v/>
      </c>
    </row>
    <row r="434" spans="2:12" s="117" customFormat="1" ht="20.100000000000001" customHeight="1" x14ac:dyDescent="0.2">
      <c r="B434" s="151"/>
      <c r="C434" s="152"/>
      <c r="D434" s="146"/>
      <c r="E434" s="146"/>
      <c r="F434" s="153"/>
      <c r="G434" s="153"/>
      <c r="H434" s="154" t="str">
        <f t="shared" si="12"/>
        <v/>
      </c>
      <c r="I43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4" s="165"/>
      <c r="K434" s="165"/>
      <c r="L434" s="166" t="str">
        <f t="shared" si="13"/>
        <v/>
      </c>
    </row>
    <row r="435" spans="2:12" s="117" customFormat="1" ht="20.100000000000001" customHeight="1" x14ac:dyDescent="0.2">
      <c r="B435" s="151"/>
      <c r="C435" s="152"/>
      <c r="D435" s="146"/>
      <c r="E435" s="146"/>
      <c r="F435" s="153"/>
      <c r="G435" s="153"/>
      <c r="H435" s="154" t="str">
        <f t="shared" si="12"/>
        <v/>
      </c>
      <c r="I43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5" s="165"/>
      <c r="K435" s="165"/>
      <c r="L435" s="166" t="str">
        <f t="shared" si="13"/>
        <v/>
      </c>
    </row>
    <row r="436" spans="2:12" s="117" customFormat="1" ht="20.100000000000001" customHeight="1" x14ac:dyDescent="0.2">
      <c r="B436" s="151"/>
      <c r="C436" s="152"/>
      <c r="D436" s="146"/>
      <c r="E436" s="146"/>
      <c r="F436" s="153"/>
      <c r="G436" s="153"/>
      <c r="H436" s="154" t="str">
        <f t="shared" si="12"/>
        <v/>
      </c>
      <c r="I43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6" s="165"/>
      <c r="K436" s="165"/>
      <c r="L436" s="166" t="str">
        <f t="shared" si="13"/>
        <v/>
      </c>
    </row>
    <row r="437" spans="2:12" s="117" customFormat="1" ht="20.100000000000001" customHeight="1" x14ac:dyDescent="0.2">
      <c r="B437" s="151"/>
      <c r="C437" s="152"/>
      <c r="D437" s="146"/>
      <c r="E437" s="146"/>
      <c r="F437" s="153"/>
      <c r="G437" s="153"/>
      <c r="H437" s="154" t="str">
        <f t="shared" si="12"/>
        <v/>
      </c>
      <c r="I43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7" s="165"/>
      <c r="K437" s="165"/>
      <c r="L437" s="166" t="str">
        <f t="shared" si="13"/>
        <v/>
      </c>
    </row>
    <row r="438" spans="2:12" s="117" customFormat="1" ht="20.100000000000001" customHeight="1" x14ac:dyDescent="0.2">
      <c r="B438" s="151"/>
      <c r="C438" s="152"/>
      <c r="D438" s="146"/>
      <c r="E438" s="146"/>
      <c r="F438" s="153"/>
      <c r="G438" s="153"/>
      <c r="H438" s="154" t="str">
        <f t="shared" si="12"/>
        <v/>
      </c>
      <c r="I43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8" s="165"/>
      <c r="K438" s="165"/>
      <c r="L438" s="166" t="str">
        <f t="shared" si="13"/>
        <v/>
      </c>
    </row>
    <row r="439" spans="2:12" s="117" customFormat="1" ht="20.100000000000001" customHeight="1" x14ac:dyDescent="0.2">
      <c r="B439" s="151"/>
      <c r="C439" s="152"/>
      <c r="D439" s="146"/>
      <c r="E439" s="146"/>
      <c r="F439" s="153"/>
      <c r="G439" s="153"/>
      <c r="H439" s="154" t="str">
        <f t="shared" si="12"/>
        <v/>
      </c>
      <c r="I43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39" s="165"/>
      <c r="K439" s="165"/>
      <c r="L439" s="166" t="str">
        <f t="shared" si="13"/>
        <v/>
      </c>
    </row>
    <row r="440" spans="2:12" s="117" customFormat="1" ht="20.100000000000001" customHeight="1" x14ac:dyDescent="0.2">
      <c r="B440" s="151"/>
      <c r="C440" s="152"/>
      <c r="D440" s="146"/>
      <c r="E440" s="146"/>
      <c r="F440" s="153"/>
      <c r="G440" s="153"/>
      <c r="H440" s="154" t="str">
        <f t="shared" si="12"/>
        <v/>
      </c>
      <c r="I44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0" s="165"/>
      <c r="K440" s="165"/>
      <c r="L440" s="166" t="str">
        <f t="shared" si="13"/>
        <v/>
      </c>
    </row>
    <row r="441" spans="2:12" s="117" customFormat="1" ht="20.100000000000001" customHeight="1" x14ac:dyDescent="0.2">
      <c r="B441" s="151"/>
      <c r="C441" s="152"/>
      <c r="D441" s="146"/>
      <c r="E441" s="146"/>
      <c r="F441" s="153"/>
      <c r="G441" s="153"/>
      <c r="H441" s="154" t="str">
        <f t="shared" si="12"/>
        <v/>
      </c>
      <c r="I44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1" s="165"/>
      <c r="K441" s="165"/>
      <c r="L441" s="166" t="str">
        <f t="shared" si="13"/>
        <v/>
      </c>
    </row>
    <row r="442" spans="2:12" s="117" customFormat="1" ht="20.100000000000001" customHeight="1" x14ac:dyDescent="0.2">
      <c r="B442" s="151"/>
      <c r="C442" s="152"/>
      <c r="D442" s="146"/>
      <c r="E442" s="146"/>
      <c r="F442" s="153"/>
      <c r="G442" s="153"/>
      <c r="H442" s="154" t="str">
        <f t="shared" si="12"/>
        <v/>
      </c>
      <c r="I44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2" s="165"/>
      <c r="K442" s="165"/>
      <c r="L442" s="166" t="str">
        <f t="shared" si="13"/>
        <v/>
      </c>
    </row>
    <row r="443" spans="2:12" s="117" customFormat="1" ht="20.100000000000001" customHeight="1" x14ac:dyDescent="0.2">
      <c r="B443" s="151"/>
      <c r="C443" s="152"/>
      <c r="D443" s="146"/>
      <c r="E443" s="146"/>
      <c r="F443" s="153"/>
      <c r="G443" s="153"/>
      <c r="H443" s="154" t="str">
        <f t="shared" si="12"/>
        <v/>
      </c>
      <c r="I44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3" s="165"/>
      <c r="K443" s="165"/>
      <c r="L443" s="166" t="str">
        <f t="shared" si="13"/>
        <v/>
      </c>
    </row>
    <row r="444" spans="2:12" s="117" customFormat="1" ht="20.100000000000001" customHeight="1" x14ac:dyDescent="0.2">
      <c r="B444" s="151"/>
      <c r="C444" s="152"/>
      <c r="D444" s="146"/>
      <c r="E444" s="146"/>
      <c r="F444" s="153"/>
      <c r="G444" s="153"/>
      <c r="H444" s="154" t="str">
        <f t="shared" si="12"/>
        <v/>
      </c>
      <c r="I44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4" s="165"/>
      <c r="K444" s="165"/>
      <c r="L444" s="166" t="str">
        <f t="shared" si="13"/>
        <v/>
      </c>
    </row>
    <row r="445" spans="2:12" s="117" customFormat="1" ht="20.100000000000001" customHeight="1" x14ac:dyDescent="0.2">
      <c r="B445" s="151"/>
      <c r="C445" s="152"/>
      <c r="D445" s="146"/>
      <c r="E445" s="146"/>
      <c r="F445" s="153"/>
      <c r="G445" s="153"/>
      <c r="H445" s="154" t="str">
        <f t="shared" si="12"/>
        <v/>
      </c>
      <c r="I44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5" s="165"/>
      <c r="K445" s="165"/>
      <c r="L445" s="166" t="str">
        <f t="shared" si="13"/>
        <v/>
      </c>
    </row>
    <row r="446" spans="2:12" s="117" customFormat="1" ht="20.100000000000001" customHeight="1" x14ac:dyDescent="0.2">
      <c r="B446" s="151"/>
      <c r="C446" s="152"/>
      <c r="D446" s="146"/>
      <c r="E446" s="146"/>
      <c r="F446" s="153"/>
      <c r="G446" s="153"/>
      <c r="H446" s="154" t="str">
        <f t="shared" si="12"/>
        <v/>
      </c>
      <c r="I44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6" s="165"/>
      <c r="K446" s="165"/>
      <c r="L446" s="166" t="str">
        <f t="shared" si="13"/>
        <v/>
      </c>
    </row>
    <row r="447" spans="2:12" s="117" customFormat="1" ht="20.100000000000001" customHeight="1" x14ac:dyDescent="0.2">
      <c r="B447" s="151"/>
      <c r="C447" s="152"/>
      <c r="D447" s="146"/>
      <c r="E447" s="146"/>
      <c r="F447" s="153"/>
      <c r="G447" s="153"/>
      <c r="H447" s="154" t="str">
        <f t="shared" si="12"/>
        <v/>
      </c>
      <c r="I44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7" s="165"/>
      <c r="K447" s="165"/>
      <c r="L447" s="166" t="str">
        <f t="shared" si="13"/>
        <v/>
      </c>
    </row>
    <row r="448" spans="2:12" s="117" customFormat="1" ht="20.100000000000001" customHeight="1" x14ac:dyDescent="0.2">
      <c r="B448" s="151"/>
      <c r="C448" s="152"/>
      <c r="D448" s="146"/>
      <c r="E448" s="146"/>
      <c r="F448" s="153"/>
      <c r="G448" s="153"/>
      <c r="H448" s="154" t="str">
        <f t="shared" si="12"/>
        <v/>
      </c>
      <c r="I44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8" s="165"/>
      <c r="K448" s="165"/>
      <c r="L448" s="166" t="str">
        <f t="shared" si="13"/>
        <v/>
      </c>
    </row>
    <row r="449" spans="2:12" s="117" customFormat="1" ht="20.100000000000001" customHeight="1" x14ac:dyDescent="0.2">
      <c r="B449" s="151"/>
      <c r="C449" s="152"/>
      <c r="D449" s="146"/>
      <c r="E449" s="146"/>
      <c r="F449" s="153"/>
      <c r="G449" s="153"/>
      <c r="H449" s="154" t="str">
        <f t="shared" si="12"/>
        <v/>
      </c>
      <c r="I44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49" s="165"/>
      <c r="K449" s="165"/>
      <c r="L449" s="166" t="str">
        <f t="shared" si="13"/>
        <v/>
      </c>
    </row>
    <row r="450" spans="2:12" s="117" customFormat="1" ht="20.100000000000001" customHeight="1" x14ac:dyDescent="0.2">
      <c r="B450" s="151"/>
      <c r="C450" s="152"/>
      <c r="D450" s="146"/>
      <c r="E450" s="146"/>
      <c r="F450" s="153"/>
      <c r="G450" s="153"/>
      <c r="H450" s="154" t="str">
        <f t="shared" si="12"/>
        <v/>
      </c>
      <c r="I45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0" s="165"/>
      <c r="K450" s="165"/>
      <c r="L450" s="166" t="str">
        <f t="shared" si="13"/>
        <v/>
      </c>
    </row>
    <row r="451" spans="2:12" s="117" customFormat="1" ht="20.100000000000001" customHeight="1" x14ac:dyDescent="0.2">
      <c r="B451" s="151"/>
      <c r="C451" s="152"/>
      <c r="D451" s="146"/>
      <c r="E451" s="146"/>
      <c r="F451" s="153"/>
      <c r="G451" s="153"/>
      <c r="H451" s="154" t="str">
        <f t="shared" si="12"/>
        <v/>
      </c>
      <c r="I45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1" s="165"/>
      <c r="K451" s="165"/>
      <c r="L451" s="166" t="str">
        <f t="shared" si="13"/>
        <v/>
      </c>
    </row>
    <row r="452" spans="2:12" s="117" customFormat="1" ht="20.100000000000001" customHeight="1" x14ac:dyDescent="0.2">
      <c r="B452" s="151"/>
      <c r="C452" s="152"/>
      <c r="D452" s="146"/>
      <c r="E452" s="146"/>
      <c r="F452" s="153"/>
      <c r="G452" s="153"/>
      <c r="H452" s="154" t="str">
        <f t="shared" si="12"/>
        <v/>
      </c>
      <c r="I45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2" s="165"/>
      <c r="K452" s="165"/>
      <c r="L452" s="166" t="str">
        <f t="shared" si="13"/>
        <v/>
      </c>
    </row>
    <row r="453" spans="2:12" s="117" customFormat="1" ht="20.100000000000001" customHeight="1" x14ac:dyDescent="0.2">
      <c r="B453" s="151"/>
      <c r="C453" s="152"/>
      <c r="D453" s="146"/>
      <c r="E453" s="146"/>
      <c r="F453" s="153"/>
      <c r="G453" s="153"/>
      <c r="H453" s="154" t="str">
        <f t="shared" ref="H453:H516" si="14">IFERROR(G453/F453,"")</f>
        <v/>
      </c>
      <c r="I45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3" s="165"/>
      <c r="K453" s="165"/>
      <c r="L453" s="166" t="str">
        <f t="shared" ref="L453:L516" si="15">IFERROR(K453/J453,"")</f>
        <v/>
      </c>
    </row>
    <row r="454" spans="2:12" s="117" customFormat="1" ht="20.100000000000001" customHeight="1" x14ac:dyDescent="0.2">
      <c r="B454" s="151"/>
      <c r="C454" s="152"/>
      <c r="D454" s="146"/>
      <c r="E454" s="146"/>
      <c r="F454" s="153"/>
      <c r="G454" s="153"/>
      <c r="H454" s="154" t="str">
        <f t="shared" si="14"/>
        <v/>
      </c>
      <c r="I45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4" s="165"/>
      <c r="K454" s="165"/>
      <c r="L454" s="166" t="str">
        <f t="shared" si="15"/>
        <v/>
      </c>
    </row>
    <row r="455" spans="2:12" s="117" customFormat="1" ht="20.100000000000001" customHeight="1" x14ac:dyDescent="0.2">
      <c r="B455" s="151"/>
      <c r="C455" s="152"/>
      <c r="D455" s="146"/>
      <c r="E455" s="146"/>
      <c r="F455" s="153"/>
      <c r="G455" s="153"/>
      <c r="H455" s="154" t="str">
        <f t="shared" si="14"/>
        <v/>
      </c>
      <c r="I45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5" s="165"/>
      <c r="K455" s="165"/>
      <c r="L455" s="166" t="str">
        <f t="shared" si="15"/>
        <v/>
      </c>
    </row>
    <row r="456" spans="2:12" s="117" customFormat="1" ht="20.100000000000001" customHeight="1" x14ac:dyDescent="0.2">
      <c r="B456" s="151"/>
      <c r="C456" s="152"/>
      <c r="D456" s="146"/>
      <c r="E456" s="146"/>
      <c r="F456" s="153"/>
      <c r="G456" s="153"/>
      <c r="H456" s="154" t="str">
        <f t="shared" si="14"/>
        <v/>
      </c>
      <c r="I45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6" s="165"/>
      <c r="K456" s="165"/>
      <c r="L456" s="166" t="str">
        <f t="shared" si="15"/>
        <v/>
      </c>
    </row>
    <row r="457" spans="2:12" s="117" customFormat="1" ht="20.100000000000001" customHeight="1" x14ac:dyDescent="0.2">
      <c r="B457" s="151"/>
      <c r="C457" s="152"/>
      <c r="D457" s="146"/>
      <c r="E457" s="146"/>
      <c r="F457" s="153"/>
      <c r="G457" s="153"/>
      <c r="H457" s="154" t="str">
        <f t="shared" si="14"/>
        <v/>
      </c>
      <c r="I45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7" s="165"/>
      <c r="K457" s="165"/>
      <c r="L457" s="166" t="str">
        <f t="shared" si="15"/>
        <v/>
      </c>
    </row>
    <row r="458" spans="2:12" s="117" customFormat="1" ht="20.100000000000001" customHeight="1" x14ac:dyDescent="0.2">
      <c r="B458" s="151"/>
      <c r="C458" s="152"/>
      <c r="D458" s="146"/>
      <c r="E458" s="146"/>
      <c r="F458" s="153"/>
      <c r="G458" s="153"/>
      <c r="H458" s="154" t="str">
        <f t="shared" si="14"/>
        <v/>
      </c>
      <c r="I45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8" s="165"/>
      <c r="K458" s="165"/>
      <c r="L458" s="166" t="str">
        <f t="shared" si="15"/>
        <v/>
      </c>
    </row>
    <row r="459" spans="2:12" s="117" customFormat="1" ht="20.100000000000001" customHeight="1" x14ac:dyDescent="0.2">
      <c r="B459" s="151"/>
      <c r="C459" s="152"/>
      <c r="D459" s="146"/>
      <c r="E459" s="146"/>
      <c r="F459" s="153"/>
      <c r="G459" s="153"/>
      <c r="H459" s="154" t="str">
        <f t="shared" si="14"/>
        <v/>
      </c>
      <c r="I45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59" s="165"/>
      <c r="K459" s="165"/>
      <c r="L459" s="166" t="str">
        <f t="shared" si="15"/>
        <v/>
      </c>
    </row>
    <row r="460" spans="2:12" s="117" customFormat="1" ht="20.100000000000001" customHeight="1" x14ac:dyDescent="0.2">
      <c r="B460" s="151"/>
      <c r="C460" s="152"/>
      <c r="D460" s="146"/>
      <c r="E460" s="146"/>
      <c r="F460" s="153"/>
      <c r="G460" s="153"/>
      <c r="H460" s="154" t="str">
        <f t="shared" si="14"/>
        <v/>
      </c>
      <c r="I46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0" s="165"/>
      <c r="K460" s="165"/>
      <c r="L460" s="166" t="str">
        <f t="shared" si="15"/>
        <v/>
      </c>
    </row>
    <row r="461" spans="2:12" s="117" customFormat="1" ht="20.100000000000001" customHeight="1" x14ac:dyDescent="0.2">
      <c r="B461" s="151"/>
      <c r="C461" s="152"/>
      <c r="D461" s="146"/>
      <c r="E461" s="146"/>
      <c r="F461" s="153"/>
      <c r="G461" s="153"/>
      <c r="H461" s="154" t="str">
        <f t="shared" si="14"/>
        <v/>
      </c>
      <c r="I46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1" s="165"/>
      <c r="K461" s="165"/>
      <c r="L461" s="166" t="str">
        <f t="shared" si="15"/>
        <v/>
      </c>
    </row>
    <row r="462" spans="2:12" s="117" customFormat="1" ht="20.100000000000001" customHeight="1" x14ac:dyDescent="0.2">
      <c r="B462" s="151"/>
      <c r="C462" s="152"/>
      <c r="D462" s="146"/>
      <c r="E462" s="146"/>
      <c r="F462" s="153"/>
      <c r="G462" s="153"/>
      <c r="H462" s="154" t="str">
        <f t="shared" si="14"/>
        <v/>
      </c>
      <c r="I46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2" s="165"/>
      <c r="K462" s="165"/>
      <c r="L462" s="166" t="str">
        <f t="shared" si="15"/>
        <v/>
      </c>
    </row>
    <row r="463" spans="2:12" s="117" customFormat="1" ht="20.100000000000001" customHeight="1" x14ac:dyDescent="0.2">
      <c r="B463" s="151"/>
      <c r="C463" s="152"/>
      <c r="D463" s="146"/>
      <c r="E463" s="146"/>
      <c r="F463" s="153"/>
      <c r="G463" s="153"/>
      <c r="H463" s="154" t="str">
        <f t="shared" si="14"/>
        <v/>
      </c>
      <c r="I46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3" s="165"/>
      <c r="K463" s="165"/>
      <c r="L463" s="166" t="str">
        <f t="shared" si="15"/>
        <v/>
      </c>
    </row>
    <row r="464" spans="2:12" s="117" customFormat="1" ht="20.100000000000001" customHeight="1" x14ac:dyDescent="0.2">
      <c r="B464" s="151"/>
      <c r="C464" s="152"/>
      <c r="D464" s="146"/>
      <c r="E464" s="146"/>
      <c r="F464" s="153"/>
      <c r="G464" s="153"/>
      <c r="H464" s="154" t="str">
        <f t="shared" si="14"/>
        <v/>
      </c>
      <c r="I46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4" s="165"/>
      <c r="K464" s="165"/>
      <c r="L464" s="166" t="str">
        <f t="shared" si="15"/>
        <v/>
      </c>
    </row>
    <row r="465" spans="2:12" s="117" customFormat="1" ht="20.100000000000001" customHeight="1" x14ac:dyDescent="0.2">
      <c r="B465" s="151"/>
      <c r="C465" s="152"/>
      <c r="D465" s="146"/>
      <c r="E465" s="146"/>
      <c r="F465" s="153"/>
      <c r="G465" s="153"/>
      <c r="H465" s="154" t="str">
        <f t="shared" si="14"/>
        <v/>
      </c>
      <c r="I46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5" s="165"/>
      <c r="K465" s="165"/>
      <c r="L465" s="166" t="str">
        <f t="shared" si="15"/>
        <v/>
      </c>
    </row>
    <row r="466" spans="2:12" s="117" customFormat="1" ht="20.100000000000001" customHeight="1" x14ac:dyDescent="0.2">
      <c r="B466" s="151"/>
      <c r="C466" s="152"/>
      <c r="D466" s="146"/>
      <c r="E466" s="146"/>
      <c r="F466" s="153"/>
      <c r="G466" s="153"/>
      <c r="H466" s="154" t="str">
        <f t="shared" si="14"/>
        <v/>
      </c>
      <c r="I46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6" s="165"/>
      <c r="K466" s="165"/>
      <c r="L466" s="166" t="str">
        <f t="shared" si="15"/>
        <v/>
      </c>
    </row>
    <row r="467" spans="2:12" s="117" customFormat="1" ht="20.100000000000001" customHeight="1" x14ac:dyDescent="0.2">
      <c r="B467" s="151"/>
      <c r="C467" s="152"/>
      <c r="D467" s="146"/>
      <c r="E467" s="146"/>
      <c r="F467" s="153"/>
      <c r="G467" s="153"/>
      <c r="H467" s="154" t="str">
        <f t="shared" si="14"/>
        <v/>
      </c>
      <c r="I46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7" s="165"/>
      <c r="K467" s="165"/>
      <c r="L467" s="166" t="str">
        <f t="shared" si="15"/>
        <v/>
      </c>
    </row>
    <row r="468" spans="2:12" s="117" customFormat="1" ht="20.100000000000001" customHeight="1" x14ac:dyDescent="0.2">
      <c r="B468" s="151"/>
      <c r="C468" s="152"/>
      <c r="D468" s="146"/>
      <c r="E468" s="146"/>
      <c r="F468" s="153"/>
      <c r="G468" s="153"/>
      <c r="H468" s="154" t="str">
        <f t="shared" si="14"/>
        <v/>
      </c>
      <c r="I46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8" s="165"/>
      <c r="K468" s="165"/>
      <c r="L468" s="166" t="str">
        <f t="shared" si="15"/>
        <v/>
      </c>
    </row>
    <row r="469" spans="2:12" s="117" customFormat="1" ht="20.100000000000001" customHeight="1" x14ac:dyDescent="0.2">
      <c r="B469" s="151"/>
      <c r="C469" s="152"/>
      <c r="D469" s="146"/>
      <c r="E469" s="146"/>
      <c r="F469" s="153"/>
      <c r="G469" s="153"/>
      <c r="H469" s="154" t="str">
        <f t="shared" si="14"/>
        <v/>
      </c>
      <c r="I46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69" s="165"/>
      <c r="K469" s="165"/>
      <c r="L469" s="166" t="str">
        <f t="shared" si="15"/>
        <v/>
      </c>
    </row>
    <row r="470" spans="2:12" s="117" customFormat="1" ht="20.100000000000001" customHeight="1" x14ac:dyDescent="0.2">
      <c r="B470" s="151"/>
      <c r="C470" s="152"/>
      <c r="D470" s="146"/>
      <c r="E470" s="146"/>
      <c r="F470" s="153"/>
      <c r="G470" s="153"/>
      <c r="H470" s="154" t="str">
        <f t="shared" si="14"/>
        <v/>
      </c>
      <c r="I47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0" s="165"/>
      <c r="K470" s="165"/>
      <c r="L470" s="166" t="str">
        <f t="shared" si="15"/>
        <v/>
      </c>
    </row>
    <row r="471" spans="2:12" s="117" customFormat="1" ht="20.100000000000001" customHeight="1" x14ac:dyDescent="0.2">
      <c r="B471" s="151"/>
      <c r="C471" s="152"/>
      <c r="D471" s="146"/>
      <c r="E471" s="146"/>
      <c r="F471" s="153"/>
      <c r="G471" s="153"/>
      <c r="H471" s="154" t="str">
        <f t="shared" si="14"/>
        <v/>
      </c>
      <c r="I47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1" s="165"/>
      <c r="K471" s="165"/>
      <c r="L471" s="166" t="str">
        <f t="shared" si="15"/>
        <v/>
      </c>
    </row>
    <row r="472" spans="2:12" s="117" customFormat="1" ht="20.100000000000001" customHeight="1" x14ac:dyDescent="0.2">
      <c r="B472" s="151"/>
      <c r="C472" s="152"/>
      <c r="D472" s="146"/>
      <c r="E472" s="146"/>
      <c r="F472" s="153"/>
      <c r="G472" s="153"/>
      <c r="H472" s="154" t="str">
        <f t="shared" si="14"/>
        <v/>
      </c>
      <c r="I47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2" s="165"/>
      <c r="K472" s="165"/>
      <c r="L472" s="166" t="str">
        <f t="shared" si="15"/>
        <v/>
      </c>
    </row>
    <row r="473" spans="2:12" s="117" customFormat="1" ht="20.100000000000001" customHeight="1" x14ac:dyDescent="0.2">
      <c r="B473" s="151"/>
      <c r="C473" s="152"/>
      <c r="D473" s="146"/>
      <c r="E473" s="146"/>
      <c r="F473" s="153"/>
      <c r="G473" s="153"/>
      <c r="H473" s="154" t="str">
        <f t="shared" si="14"/>
        <v/>
      </c>
      <c r="I47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3" s="165"/>
      <c r="K473" s="165"/>
      <c r="L473" s="166" t="str">
        <f t="shared" si="15"/>
        <v/>
      </c>
    </row>
    <row r="474" spans="2:12" s="117" customFormat="1" ht="20.100000000000001" customHeight="1" x14ac:dyDescent="0.2">
      <c r="B474" s="151"/>
      <c r="C474" s="152"/>
      <c r="D474" s="146"/>
      <c r="E474" s="146"/>
      <c r="F474" s="153"/>
      <c r="G474" s="153"/>
      <c r="H474" s="154" t="str">
        <f t="shared" si="14"/>
        <v/>
      </c>
      <c r="I47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4" s="165"/>
      <c r="K474" s="165"/>
      <c r="L474" s="166" t="str">
        <f t="shared" si="15"/>
        <v/>
      </c>
    </row>
    <row r="475" spans="2:12" s="117" customFormat="1" ht="20.100000000000001" customHeight="1" x14ac:dyDescent="0.2">
      <c r="B475" s="151"/>
      <c r="C475" s="152"/>
      <c r="D475" s="146"/>
      <c r="E475" s="146"/>
      <c r="F475" s="153"/>
      <c r="G475" s="153"/>
      <c r="H475" s="154" t="str">
        <f t="shared" si="14"/>
        <v/>
      </c>
      <c r="I47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5" s="165"/>
      <c r="K475" s="165"/>
      <c r="L475" s="166" t="str">
        <f t="shared" si="15"/>
        <v/>
      </c>
    </row>
    <row r="476" spans="2:12" s="117" customFormat="1" ht="20.100000000000001" customHeight="1" x14ac:dyDescent="0.2">
      <c r="B476" s="151"/>
      <c r="C476" s="152"/>
      <c r="D476" s="146"/>
      <c r="E476" s="146"/>
      <c r="F476" s="153"/>
      <c r="G476" s="153"/>
      <c r="H476" s="154" t="str">
        <f t="shared" si="14"/>
        <v/>
      </c>
      <c r="I47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6" s="165"/>
      <c r="K476" s="165"/>
      <c r="L476" s="166" t="str">
        <f t="shared" si="15"/>
        <v/>
      </c>
    </row>
    <row r="477" spans="2:12" s="117" customFormat="1" ht="20.100000000000001" customHeight="1" x14ac:dyDescent="0.2">
      <c r="B477" s="151"/>
      <c r="C477" s="152"/>
      <c r="D477" s="146"/>
      <c r="E477" s="146"/>
      <c r="F477" s="153"/>
      <c r="G477" s="153"/>
      <c r="H477" s="154" t="str">
        <f t="shared" si="14"/>
        <v/>
      </c>
      <c r="I47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7" s="165"/>
      <c r="K477" s="165"/>
      <c r="L477" s="166" t="str">
        <f t="shared" si="15"/>
        <v/>
      </c>
    </row>
    <row r="478" spans="2:12" s="117" customFormat="1" ht="20.100000000000001" customHeight="1" x14ac:dyDescent="0.2">
      <c r="B478" s="151"/>
      <c r="C478" s="152"/>
      <c r="D478" s="146"/>
      <c r="E478" s="146"/>
      <c r="F478" s="153"/>
      <c r="G478" s="153"/>
      <c r="H478" s="154" t="str">
        <f t="shared" si="14"/>
        <v/>
      </c>
      <c r="I47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8" s="165"/>
      <c r="K478" s="165"/>
      <c r="L478" s="166" t="str">
        <f t="shared" si="15"/>
        <v/>
      </c>
    </row>
    <row r="479" spans="2:12" s="117" customFormat="1" ht="20.100000000000001" customHeight="1" x14ac:dyDescent="0.2">
      <c r="B479" s="151"/>
      <c r="C479" s="152"/>
      <c r="D479" s="146"/>
      <c r="E479" s="146"/>
      <c r="F479" s="153"/>
      <c r="G479" s="153"/>
      <c r="H479" s="154" t="str">
        <f t="shared" si="14"/>
        <v/>
      </c>
      <c r="I47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79" s="165"/>
      <c r="K479" s="165"/>
      <c r="L479" s="166" t="str">
        <f t="shared" si="15"/>
        <v/>
      </c>
    </row>
    <row r="480" spans="2:12" s="117" customFormat="1" ht="20.100000000000001" customHeight="1" x14ac:dyDescent="0.2">
      <c r="B480" s="151"/>
      <c r="C480" s="152"/>
      <c r="D480" s="146"/>
      <c r="E480" s="146"/>
      <c r="F480" s="153"/>
      <c r="G480" s="153"/>
      <c r="H480" s="154" t="str">
        <f t="shared" si="14"/>
        <v/>
      </c>
      <c r="I48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0" s="165"/>
      <c r="K480" s="165"/>
      <c r="L480" s="166" t="str">
        <f t="shared" si="15"/>
        <v/>
      </c>
    </row>
    <row r="481" spans="2:12" s="117" customFormat="1" ht="20.100000000000001" customHeight="1" x14ac:dyDescent="0.2">
      <c r="B481" s="151"/>
      <c r="C481" s="152"/>
      <c r="D481" s="146"/>
      <c r="E481" s="146"/>
      <c r="F481" s="153"/>
      <c r="G481" s="153"/>
      <c r="H481" s="154" t="str">
        <f t="shared" si="14"/>
        <v/>
      </c>
      <c r="I48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1" s="165"/>
      <c r="K481" s="165"/>
      <c r="L481" s="166" t="str">
        <f t="shared" si="15"/>
        <v/>
      </c>
    </row>
    <row r="482" spans="2:12" s="117" customFormat="1" ht="20.100000000000001" customHeight="1" x14ac:dyDescent="0.2">
      <c r="B482" s="151"/>
      <c r="C482" s="152"/>
      <c r="D482" s="146"/>
      <c r="E482" s="146"/>
      <c r="F482" s="153"/>
      <c r="G482" s="153"/>
      <c r="H482" s="154" t="str">
        <f t="shared" si="14"/>
        <v/>
      </c>
      <c r="I48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2" s="165"/>
      <c r="K482" s="165"/>
      <c r="L482" s="166" t="str">
        <f t="shared" si="15"/>
        <v/>
      </c>
    </row>
    <row r="483" spans="2:12" s="117" customFormat="1" ht="20.100000000000001" customHeight="1" x14ac:dyDescent="0.2">
      <c r="B483" s="151"/>
      <c r="C483" s="152"/>
      <c r="D483" s="146"/>
      <c r="E483" s="146"/>
      <c r="F483" s="153"/>
      <c r="G483" s="153"/>
      <c r="H483" s="154" t="str">
        <f t="shared" si="14"/>
        <v/>
      </c>
      <c r="I48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3" s="165"/>
      <c r="K483" s="165"/>
      <c r="L483" s="166" t="str">
        <f t="shared" si="15"/>
        <v/>
      </c>
    </row>
    <row r="484" spans="2:12" s="117" customFormat="1" ht="20.100000000000001" customHeight="1" x14ac:dyDescent="0.2">
      <c r="B484" s="151"/>
      <c r="C484" s="152"/>
      <c r="D484" s="146"/>
      <c r="E484" s="146"/>
      <c r="F484" s="153"/>
      <c r="G484" s="153"/>
      <c r="H484" s="154" t="str">
        <f t="shared" si="14"/>
        <v/>
      </c>
      <c r="I48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4" s="165"/>
      <c r="K484" s="165"/>
      <c r="L484" s="166" t="str">
        <f t="shared" si="15"/>
        <v/>
      </c>
    </row>
    <row r="485" spans="2:12" s="117" customFormat="1" ht="20.100000000000001" customHeight="1" x14ac:dyDescent="0.2">
      <c r="B485" s="151"/>
      <c r="C485" s="152"/>
      <c r="D485" s="146"/>
      <c r="E485" s="146"/>
      <c r="F485" s="153"/>
      <c r="G485" s="153"/>
      <c r="H485" s="154" t="str">
        <f t="shared" si="14"/>
        <v/>
      </c>
      <c r="I48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5" s="165"/>
      <c r="K485" s="165"/>
      <c r="L485" s="166" t="str">
        <f t="shared" si="15"/>
        <v/>
      </c>
    </row>
    <row r="486" spans="2:12" s="117" customFormat="1" ht="20.100000000000001" customHeight="1" x14ac:dyDescent="0.2">
      <c r="B486" s="151"/>
      <c r="C486" s="152"/>
      <c r="D486" s="146"/>
      <c r="E486" s="146"/>
      <c r="F486" s="153"/>
      <c r="G486" s="153"/>
      <c r="H486" s="154" t="str">
        <f t="shared" si="14"/>
        <v/>
      </c>
      <c r="I48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6" s="165"/>
      <c r="K486" s="165"/>
      <c r="L486" s="166" t="str">
        <f t="shared" si="15"/>
        <v/>
      </c>
    </row>
    <row r="487" spans="2:12" s="117" customFormat="1" ht="20.100000000000001" customHeight="1" x14ac:dyDescent="0.2">
      <c r="B487" s="151"/>
      <c r="C487" s="152"/>
      <c r="D487" s="146"/>
      <c r="E487" s="146"/>
      <c r="F487" s="153"/>
      <c r="G487" s="153"/>
      <c r="H487" s="154" t="str">
        <f t="shared" si="14"/>
        <v/>
      </c>
      <c r="I48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7" s="165"/>
      <c r="K487" s="165"/>
      <c r="L487" s="166" t="str">
        <f t="shared" si="15"/>
        <v/>
      </c>
    </row>
    <row r="488" spans="2:12" s="117" customFormat="1" ht="20.100000000000001" customHeight="1" x14ac:dyDescent="0.2">
      <c r="B488" s="151"/>
      <c r="C488" s="152"/>
      <c r="D488" s="146"/>
      <c r="E488" s="146"/>
      <c r="F488" s="153"/>
      <c r="G488" s="153"/>
      <c r="H488" s="154" t="str">
        <f t="shared" si="14"/>
        <v/>
      </c>
      <c r="I48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8" s="165"/>
      <c r="K488" s="165"/>
      <c r="L488" s="166" t="str">
        <f t="shared" si="15"/>
        <v/>
      </c>
    </row>
    <row r="489" spans="2:12" s="117" customFormat="1" ht="20.100000000000001" customHeight="1" x14ac:dyDescent="0.2">
      <c r="B489" s="151"/>
      <c r="C489" s="152"/>
      <c r="D489" s="146"/>
      <c r="E489" s="146"/>
      <c r="F489" s="153"/>
      <c r="G489" s="153"/>
      <c r="H489" s="154" t="str">
        <f t="shared" si="14"/>
        <v/>
      </c>
      <c r="I48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89" s="165"/>
      <c r="K489" s="165"/>
      <c r="L489" s="166" t="str">
        <f t="shared" si="15"/>
        <v/>
      </c>
    </row>
    <row r="490" spans="2:12" s="117" customFormat="1" ht="20.100000000000001" customHeight="1" x14ac:dyDescent="0.2">
      <c r="B490" s="151"/>
      <c r="C490" s="152"/>
      <c r="D490" s="146"/>
      <c r="E490" s="146"/>
      <c r="F490" s="153"/>
      <c r="G490" s="153"/>
      <c r="H490" s="154" t="str">
        <f t="shared" si="14"/>
        <v/>
      </c>
      <c r="I49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0" s="165"/>
      <c r="K490" s="165"/>
      <c r="L490" s="166" t="str">
        <f t="shared" si="15"/>
        <v/>
      </c>
    </row>
    <row r="491" spans="2:12" s="117" customFormat="1" ht="20.100000000000001" customHeight="1" x14ac:dyDescent="0.2">
      <c r="B491" s="151"/>
      <c r="C491" s="152"/>
      <c r="D491" s="146"/>
      <c r="E491" s="146"/>
      <c r="F491" s="153"/>
      <c r="G491" s="153"/>
      <c r="H491" s="154" t="str">
        <f t="shared" si="14"/>
        <v/>
      </c>
      <c r="I49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1" s="165"/>
      <c r="K491" s="165"/>
      <c r="L491" s="166" t="str">
        <f t="shared" si="15"/>
        <v/>
      </c>
    </row>
    <row r="492" spans="2:12" s="117" customFormat="1" ht="20.100000000000001" customHeight="1" x14ac:dyDescent="0.2">
      <c r="B492" s="151"/>
      <c r="C492" s="152"/>
      <c r="D492" s="146"/>
      <c r="E492" s="146"/>
      <c r="F492" s="153"/>
      <c r="G492" s="153"/>
      <c r="H492" s="154" t="str">
        <f t="shared" si="14"/>
        <v/>
      </c>
      <c r="I49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2" s="165"/>
      <c r="K492" s="165"/>
      <c r="L492" s="166" t="str">
        <f t="shared" si="15"/>
        <v/>
      </c>
    </row>
    <row r="493" spans="2:12" s="117" customFormat="1" ht="20.100000000000001" customHeight="1" x14ac:dyDescent="0.2">
      <c r="B493" s="151"/>
      <c r="C493" s="152"/>
      <c r="D493" s="146"/>
      <c r="E493" s="146"/>
      <c r="F493" s="153"/>
      <c r="G493" s="153"/>
      <c r="H493" s="154" t="str">
        <f t="shared" si="14"/>
        <v/>
      </c>
      <c r="I49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3" s="165"/>
      <c r="K493" s="165"/>
      <c r="L493" s="166" t="str">
        <f t="shared" si="15"/>
        <v/>
      </c>
    </row>
    <row r="494" spans="2:12" s="117" customFormat="1" ht="20.100000000000001" customHeight="1" x14ac:dyDescent="0.2">
      <c r="B494" s="151"/>
      <c r="C494" s="152"/>
      <c r="D494" s="146"/>
      <c r="E494" s="146"/>
      <c r="F494" s="153"/>
      <c r="G494" s="153"/>
      <c r="H494" s="154" t="str">
        <f t="shared" si="14"/>
        <v/>
      </c>
      <c r="I49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4" s="165"/>
      <c r="K494" s="165"/>
      <c r="L494" s="166" t="str">
        <f t="shared" si="15"/>
        <v/>
      </c>
    </row>
    <row r="495" spans="2:12" s="117" customFormat="1" ht="20.100000000000001" customHeight="1" x14ac:dyDescent="0.2">
      <c r="B495" s="151"/>
      <c r="C495" s="152"/>
      <c r="D495" s="146"/>
      <c r="E495" s="146"/>
      <c r="F495" s="153"/>
      <c r="G495" s="153"/>
      <c r="H495" s="154" t="str">
        <f t="shared" si="14"/>
        <v/>
      </c>
      <c r="I49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5" s="165"/>
      <c r="K495" s="165"/>
      <c r="L495" s="166" t="str">
        <f t="shared" si="15"/>
        <v/>
      </c>
    </row>
    <row r="496" spans="2:12" s="117" customFormat="1" ht="20.100000000000001" customHeight="1" x14ac:dyDescent="0.2">
      <c r="B496" s="151"/>
      <c r="C496" s="152"/>
      <c r="D496" s="146"/>
      <c r="E496" s="146"/>
      <c r="F496" s="153"/>
      <c r="G496" s="153"/>
      <c r="H496" s="154" t="str">
        <f t="shared" si="14"/>
        <v/>
      </c>
      <c r="I49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6" s="165"/>
      <c r="K496" s="165"/>
      <c r="L496" s="166" t="str">
        <f t="shared" si="15"/>
        <v/>
      </c>
    </row>
    <row r="497" spans="2:12" s="117" customFormat="1" ht="20.100000000000001" customHeight="1" x14ac:dyDescent="0.2">
      <c r="B497" s="151"/>
      <c r="C497" s="152"/>
      <c r="D497" s="146"/>
      <c r="E497" s="146"/>
      <c r="F497" s="153"/>
      <c r="G497" s="153"/>
      <c r="H497" s="154" t="str">
        <f t="shared" si="14"/>
        <v/>
      </c>
      <c r="I49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7" s="165"/>
      <c r="K497" s="165"/>
      <c r="L497" s="166" t="str">
        <f t="shared" si="15"/>
        <v/>
      </c>
    </row>
    <row r="498" spans="2:12" s="117" customFormat="1" ht="20.100000000000001" customHeight="1" x14ac:dyDescent="0.2">
      <c r="B498" s="151"/>
      <c r="C498" s="152"/>
      <c r="D498" s="146"/>
      <c r="E498" s="146"/>
      <c r="F498" s="153"/>
      <c r="G498" s="153"/>
      <c r="H498" s="154" t="str">
        <f t="shared" si="14"/>
        <v/>
      </c>
      <c r="I49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8" s="165"/>
      <c r="K498" s="165"/>
      <c r="L498" s="166" t="str">
        <f t="shared" si="15"/>
        <v/>
      </c>
    </row>
    <row r="499" spans="2:12" s="117" customFormat="1" ht="20.100000000000001" customHeight="1" x14ac:dyDescent="0.2">
      <c r="B499" s="151"/>
      <c r="C499" s="152"/>
      <c r="D499" s="146"/>
      <c r="E499" s="146"/>
      <c r="F499" s="153"/>
      <c r="G499" s="153"/>
      <c r="H499" s="154" t="str">
        <f t="shared" si="14"/>
        <v/>
      </c>
      <c r="I49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499" s="165"/>
      <c r="K499" s="165"/>
      <c r="L499" s="166" t="str">
        <f t="shared" si="15"/>
        <v/>
      </c>
    </row>
    <row r="500" spans="2:12" s="117" customFormat="1" ht="20.100000000000001" customHeight="1" x14ac:dyDescent="0.2">
      <c r="B500" s="151"/>
      <c r="C500" s="152"/>
      <c r="D500" s="146"/>
      <c r="E500" s="146"/>
      <c r="F500" s="153"/>
      <c r="G500" s="153"/>
      <c r="H500" s="154" t="str">
        <f t="shared" si="14"/>
        <v/>
      </c>
      <c r="I50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0" s="165"/>
      <c r="K500" s="165"/>
      <c r="L500" s="166" t="str">
        <f t="shared" si="15"/>
        <v/>
      </c>
    </row>
    <row r="501" spans="2:12" s="117" customFormat="1" ht="20.100000000000001" customHeight="1" x14ac:dyDescent="0.2">
      <c r="B501" s="151"/>
      <c r="C501" s="152"/>
      <c r="D501" s="146"/>
      <c r="E501" s="146"/>
      <c r="F501" s="153"/>
      <c r="G501" s="153"/>
      <c r="H501" s="154" t="str">
        <f t="shared" si="14"/>
        <v/>
      </c>
      <c r="I50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1" s="165"/>
      <c r="K501" s="165"/>
      <c r="L501" s="166" t="str">
        <f t="shared" si="15"/>
        <v/>
      </c>
    </row>
    <row r="502" spans="2:12" s="117" customFormat="1" ht="20.100000000000001" customHeight="1" x14ac:dyDescent="0.2">
      <c r="B502" s="151"/>
      <c r="C502" s="152"/>
      <c r="D502" s="146"/>
      <c r="E502" s="146"/>
      <c r="F502" s="153"/>
      <c r="G502" s="153"/>
      <c r="H502" s="154" t="str">
        <f t="shared" si="14"/>
        <v/>
      </c>
      <c r="I50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2" s="165"/>
      <c r="K502" s="165"/>
      <c r="L502" s="166" t="str">
        <f t="shared" si="15"/>
        <v/>
      </c>
    </row>
    <row r="503" spans="2:12" s="117" customFormat="1" ht="20.100000000000001" customHeight="1" x14ac:dyDescent="0.2">
      <c r="B503" s="151"/>
      <c r="C503" s="152"/>
      <c r="D503" s="146"/>
      <c r="E503" s="146"/>
      <c r="F503" s="153"/>
      <c r="G503" s="153"/>
      <c r="H503" s="154" t="str">
        <f t="shared" si="14"/>
        <v/>
      </c>
      <c r="I50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3" s="165"/>
      <c r="K503" s="165"/>
      <c r="L503" s="166" t="str">
        <f t="shared" si="15"/>
        <v/>
      </c>
    </row>
    <row r="504" spans="2:12" s="117" customFormat="1" ht="20.100000000000001" customHeight="1" x14ac:dyDescent="0.2">
      <c r="B504" s="151"/>
      <c r="C504" s="152"/>
      <c r="D504" s="146"/>
      <c r="E504" s="146"/>
      <c r="F504" s="153"/>
      <c r="G504" s="153"/>
      <c r="H504" s="154" t="str">
        <f t="shared" si="14"/>
        <v/>
      </c>
      <c r="I50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4" s="165"/>
      <c r="K504" s="165"/>
      <c r="L504" s="166" t="str">
        <f t="shared" si="15"/>
        <v/>
      </c>
    </row>
    <row r="505" spans="2:12" s="117" customFormat="1" ht="20.100000000000001" customHeight="1" x14ac:dyDescent="0.2">
      <c r="B505" s="151"/>
      <c r="C505" s="152"/>
      <c r="D505" s="146"/>
      <c r="E505" s="146"/>
      <c r="F505" s="153"/>
      <c r="G505" s="153"/>
      <c r="H505" s="154" t="str">
        <f t="shared" si="14"/>
        <v/>
      </c>
      <c r="I50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5" s="165"/>
      <c r="K505" s="165"/>
      <c r="L505" s="166" t="str">
        <f t="shared" si="15"/>
        <v/>
      </c>
    </row>
    <row r="506" spans="2:12" s="117" customFormat="1" ht="20.100000000000001" customHeight="1" x14ac:dyDescent="0.2">
      <c r="B506" s="151"/>
      <c r="C506" s="152"/>
      <c r="D506" s="146"/>
      <c r="E506" s="146"/>
      <c r="F506" s="153"/>
      <c r="G506" s="153"/>
      <c r="H506" s="154" t="str">
        <f t="shared" si="14"/>
        <v/>
      </c>
      <c r="I50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6" s="165"/>
      <c r="K506" s="165"/>
      <c r="L506" s="166" t="str">
        <f t="shared" si="15"/>
        <v/>
      </c>
    </row>
    <row r="507" spans="2:12" s="117" customFormat="1" ht="20.100000000000001" customHeight="1" x14ac:dyDescent="0.2">
      <c r="B507" s="151"/>
      <c r="C507" s="152"/>
      <c r="D507" s="146"/>
      <c r="E507" s="146"/>
      <c r="F507" s="153"/>
      <c r="G507" s="153"/>
      <c r="H507" s="154" t="str">
        <f t="shared" si="14"/>
        <v/>
      </c>
      <c r="I50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7" s="165"/>
      <c r="K507" s="165"/>
      <c r="L507" s="166" t="str">
        <f t="shared" si="15"/>
        <v/>
      </c>
    </row>
    <row r="508" spans="2:12" s="117" customFormat="1" ht="20.100000000000001" customHeight="1" x14ac:dyDescent="0.2">
      <c r="B508" s="151"/>
      <c r="C508" s="152"/>
      <c r="D508" s="146"/>
      <c r="E508" s="146"/>
      <c r="F508" s="153"/>
      <c r="G508" s="153"/>
      <c r="H508" s="154" t="str">
        <f t="shared" si="14"/>
        <v/>
      </c>
      <c r="I50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8" s="165"/>
      <c r="K508" s="165"/>
      <c r="L508" s="166" t="str">
        <f t="shared" si="15"/>
        <v/>
      </c>
    </row>
    <row r="509" spans="2:12" s="117" customFormat="1" ht="20.100000000000001" customHeight="1" x14ac:dyDescent="0.2">
      <c r="B509" s="151"/>
      <c r="C509" s="152"/>
      <c r="D509" s="146"/>
      <c r="E509" s="146"/>
      <c r="F509" s="153"/>
      <c r="G509" s="153"/>
      <c r="H509" s="154" t="str">
        <f t="shared" si="14"/>
        <v/>
      </c>
      <c r="I50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09" s="165"/>
      <c r="K509" s="165"/>
      <c r="L509" s="166" t="str">
        <f t="shared" si="15"/>
        <v/>
      </c>
    </row>
    <row r="510" spans="2:12" s="117" customFormat="1" ht="20.100000000000001" customHeight="1" x14ac:dyDescent="0.2">
      <c r="B510" s="151"/>
      <c r="C510" s="152"/>
      <c r="D510" s="146"/>
      <c r="E510" s="146"/>
      <c r="F510" s="153"/>
      <c r="G510" s="153"/>
      <c r="H510" s="154" t="str">
        <f t="shared" si="14"/>
        <v/>
      </c>
      <c r="I51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0" s="165"/>
      <c r="K510" s="165"/>
      <c r="L510" s="166" t="str">
        <f t="shared" si="15"/>
        <v/>
      </c>
    </row>
    <row r="511" spans="2:12" s="117" customFormat="1" ht="20.100000000000001" customHeight="1" x14ac:dyDescent="0.2">
      <c r="B511" s="151"/>
      <c r="C511" s="152"/>
      <c r="D511" s="146"/>
      <c r="E511" s="146"/>
      <c r="F511" s="153"/>
      <c r="G511" s="153"/>
      <c r="H511" s="154" t="str">
        <f t="shared" si="14"/>
        <v/>
      </c>
      <c r="I51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1" s="165"/>
      <c r="K511" s="165"/>
      <c r="L511" s="166" t="str">
        <f t="shared" si="15"/>
        <v/>
      </c>
    </row>
    <row r="512" spans="2:12" s="117" customFormat="1" ht="20.100000000000001" customHeight="1" x14ac:dyDescent="0.2">
      <c r="B512" s="151"/>
      <c r="C512" s="152"/>
      <c r="D512" s="146"/>
      <c r="E512" s="146"/>
      <c r="F512" s="153"/>
      <c r="G512" s="153"/>
      <c r="H512" s="154" t="str">
        <f t="shared" si="14"/>
        <v/>
      </c>
      <c r="I51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2" s="165"/>
      <c r="K512" s="165"/>
      <c r="L512" s="166" t="str">
        <f t="shared" si="15"/>
        <v/>
      </c>
    </row>
    <row r="513" spans="2:12" s="117" customFormat="1" ht="20.100000000000001" customHeight="1" x14ac:dyDescent="0.2">
      <c r="B513" s="151"/>
      <c r="C513" s="152"/>
      <c r="D513" s="146"/>
      <c r="E513" s="146"/>
      <c r="F513" s="153"/>
      <c r="G513" s="153"/>
      <c r="H513" s="154" t="str">
        <f t="shared" si="14"/>
        <v/>
      </c>
      <c r="I51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3" s="165"/>
      <c r="K513" s="165"/>
      <c r="L513" s="166" t="str">
        <f t="shared" si="15"/>
        <v/>
      </c>
    </row>
    <row r="514" spans="2:12" s="117" customFormat="1" ht="20.100000000000001" customHeight="1" x14ac:dyDescent="0.2">
      <c r="B514" s="151"/>
      <c r="C514" s="152"/>
      <c r="D514" s="146"/>
      <c r="E514" s="146"/>
      <c r="F514" s="153"/>
      <c r="G514" s="153"/>
      <c r="H514" s="154" t="str">
        <f t="shared" si="14"/>
        <v/>
      </c>
      <c r="I51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4" s="165"/>
      <c r="K514" s="165"/>
      <c r="L514" s="166" t="str">
        <f t="shared" si="15"/>
        <v/>
      </c>
    </row>
    <row r="515" spans="2:12" s="117" customFormat="1" ht="20.100000000000001" customHeight="1" x14ac:dyDescent="0.2">
      <c r="B515" s="151"/>
      <c r="C515" s="152"/>
      <c r="D515" s="146"/>
      <c r="E515" s="146"/>
      <c r="F515" s="153"/>
      <c r="G515" s="153"/>
      <c r="H515" s="154" t="str">
        <f t="shared" si="14"/>
        <v/>
      </c>
      <c r="I51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5" s="165"/>
      <c r="K515" s="165"/>
      <c r="L515" s="166" t="str">
        <f t="shared" si="15"/>
        <v/>
      </c>
    </row>
    <row r="516" spans="2:12" s="117" customFormat="1" ht="20.100000000000001" customHeight="1" x14ac:dyDescent="0.2">
      <c r="B516" s="151"/>
      <c r="C516" s="152"/>
      <c r="D516" s="146"/>
      <c r="E516" s="146"/>
      <c r="F516" s="153"/>
      <c r="G516" s="153"/>
      <c r="H516" s="154" t="str">
        <f t="shared" si="14"/>
        <v/>
      </c>
      <c r="I51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6" s="165"/>
      <c r="K516" s="165"/>
      <c r="L516" s="166" t="str">
        <f t="shared" si="15"/>
        <v/>
      </c>
    </row>
    <row r="517" spans="2:12" s="117" customFormat="1" ht="20.100000000000001" customHeight="1" x14ac:dyDescent="0.2">
      <c r="B517" s="151"/>
      <c r="C517" s="152"/>
      <c r="D517" s="146"/>
      <c r="E517" s="146"/>
      <c r="F517" s="153"/>
      <c r="G517" s="153"/>
      <c r="H517" s="154" t="str">
        <f t="shared" ref="H517:H580" si="16">IFERROR(G517/F517,"")</f>
        <v/>
      </c>
      <c r="I51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7" s="165"/>
      <c r="K517" s="165"/>
      <c r="L517" s="166" t="str">
        <f t="shared" ref="L517:L580" si="17">IFERROR(K517/J517,"")</f>
        <v/>
      </c>
    </row>
    <row r="518" spans="2:12" s="117" customFormat="1" ht="20.100000000000001" customHeight="1" x14ac:dyDescent="0.2">
      <c r="B518" s="151"/>
      <c r="C518" s="152"/>
      <c r="D518" s="146"/>
      <c r="E518" s="146"/>
      <c r="F518" s="153"/>
      <c r="G518" s="153"/>
      <c r="H518" s="154" t="str">
        <f t="shared" si="16"/>
        <v/>
      </c>
      <c r="I51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8" s="165"/>
      <c r="K518" s="165"/>
      <c r="L518" s="166" t="str">
        <f t="shared" si="17"/>
        <v/>
      </c>
    </row>
    <row r="519" spans="2:12" s="117" customFormat="1" ht="20.100000000000001" customHeight="1" x14ac:dyDescent="0.2">
      <c r="B519" s="151"/>
      <c r="C519" s="152"/>
      <c r="D519" s="146"/>
      <c r="E519" s="146"/>
      <c r="F519" s="153"/>
      <c r="G519" s="153"/>
      <c r="H519" s="154" t="str">
        <f t="shared" si="16"/>
        <v/>
      </c>
      <c r="I51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19" s="165"/>
      <c r="K519" s="165"/>
      <c r="L519" s="166" t="str">
        <f t="shared" si="17"/>
        <v/>
      </c>
    </row>
    <row r="520" spans="2:12" s="117" customFormat="1" ht="20.100000000000001" customHeight="1" x14ac:dyDescent="0.2">
      <c r="B520" s="151"/>
      <c r="C520" s="152"/>
      <c r="D520" s="146"/>
      <c r="E520" s="146"/>
      <c r="F520" s="153"/>
      <c r="G520" s="153"/>
      <c r="H520" s="154" t="str">
        <f t="shared" si="16"/>
        <v/>
      </c>
      <c r="I52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0" s="165"/>
      <c r="K520" s="165"/>
      <c r="L520" s="166" t="str">
        <f t="shared" si="17"/>
        <v/>
      </c>
    </row>
    <row r="521" spans="2:12" s="117" customFormat="1" ht="20.100000000000001" customHeight="1" x14ac:dyDescent="0.2">
      <c r="B521" s="151"/>
      <c r="C521" s="152"/>
      <c r="D521" s="146"/>
      <c r="E521" s="146"/>
      <c r="F521" s="153"/>
      <c r="G521" s="153"/>
      <c r="H521" s="154" t="str">
        <f t="shared" si="16"/>
        <v/>
      </c>
      <c r="I52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1" s="165"/>
      <c r="K521" s="165"/>
      <c r="L521" s="166" t="str">
        <f t="shared" si="17"/>
        <v/>
      </c>
    </row>
    <row r="522" spans="2:12" s="117" customFormat="1" ht="20.100000000000001" customHeight="1" x14ac:dyDescent="0.2">
      <c r="B522" s="151"/>
      <c r="C522" s="152"/>
      <c r="D522" s="146"/>
      <c r="E522" s="146"/>
      <c r="F522" s="153"/>
      <c r="G522" s="153"/>
      <c r="H522" s="154" t="str">
        <f t="shared" si="16"/>
        <v/>
      </c>
      <c r="I52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2" s="165"/>
      <c r="K522" s="165"/>
      <c r="L522" s="166" t="str">
        <f t="shared" si="17"/>
        <v/>
      </c>
    </row>
    <row r="523" spans="2:12" s="117" customFormat="1" ht="20.100000000000001" customHeight="1" x14ac:dyDescent="0.2">
      <c r="B523" s="151"/>
      <c r="C523" s="152"/>
      <c r="D523" s="146"/>
      <c r="E523" s="146"/>
      <c r="F523" s="153"/>
      <c r="G523" s="153"/>
      <c r="H523" s="154" t="str">
        <f t="shared" si="16"/>
        <v/>
      </c>
      <c r="I52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3" s="165"/>
      <c r="K523" s="165"/>
      <c r="L523" s="166" t="str">
        <f t="shared" si="17"/>
        <v/>
      </c>
    </row>
    <row r="524" spans="2:12" s="117" customFormat="1" ht="20.100000000000001" customHeight="1" x14ac:dyDescent="0.2">
      <c r="B524" s="151"/>
      <c r="C524" s="152"/>
      <c r="D524" s="146"/>
      <c r="E524" s="146"/>
      <c r="F524" s="153"/>
      <c r="G524" s="153"/>
      <c r="H524" s="154" t="str">
        <f t="shared" si="16"/>
        <v/>
      </c>
      <c r="I52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4" s="165"/>
      <c r="K524" s="165"/>
      <c r="L524" s="166" t="str">
        <f t="shared" si="17"/>
        <v/>
      </c>
    </row>
    <row r="525" spans="2:12" s="117" customFormat="1" ht="20.100000000000001" customHeight="1" x14ac:dyDescent="0.2">
      <c r="B525" s="151"/>
      <c r="C525" s="152"/>
      <c r="D525" s="146"/>
      <c r="E525" s="146"/>
      <c r="F525" s="153"/>
      <c r="G525" s="153"/>
      <c r="H525" s="154" t="str">
        <f t="shared" si="16"/>
        <v/>
      </c>
      <c r="I52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5" s="165"/>
      <c r="K525" s="165"/>
      <c r="L525" s="166" t="str">
        <f t="shared" si="17"/>
        <v/>
      </c>
    </row>
    <row r="526" spans="2:12" s="117" customFormat="1" ht="20.100000000000001" customHeight="1" x14ac:dyDescent="0.2">
      <c r="B526" s="151"/>
      <c r="C526" s="152"/>
      <c r="D526" s="146"/>
      <c r="E526" s="146"/>
      <c r="F526" s="153"/>
      <c r="G526" s="153"/>
      <c r="H526" s="154" t="str">
        <f t="shared" si="16"/>
        <v/>
      </c>
      <c r="I52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6" s="165"/>
      <c r="K526" s="165"/>
      <c r="L526" s="166" t="str">
        <f t="shared" si="17"/>
        <v/>
      </c>
    </row>
    <row r="527" spans="2:12" s="117" customFormat="1" ht="20.100000000000001" customHeight="1" x14ac:dyDescent="0.2">
      <c r="B527" s="151"/>
      <c r="C527" s="152"/>
      <c r="D527" s="146"/>
      <c r="E527" s="146"/>
      <c r="F527" s="153"/>
      <c r="G527" s="153"/>
      <c r="H527" s="154" t="str">
        <f t="shared" si="16"/>
        <v/>
      </c>
      <c r="I52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7" s="165"/>
      <c r="K527" s="165"/>
      <c r="L527" s="166" t="str">
        <f t="shared" si="17"/>
        <v/>
      </c>
    </row>
    <row r="528" spans="2:12" s="117" customFormat="1" ht="20.100000000000001" customHeight="1" x14ac:dyDescent="0.2">
      <c r="B528" s="151"/>
      <c r="C528" s="152"/>
      <c r="D528" s="146"/>
      <c r="E528" s="146"/>
      <c r="F528" s="153"/>
      <c r="G528" s="153"/>
      <c r="H528" s="154" t="str">
        <f t="shared" si="16"/>
        <v/>
      </c>
      <c r="I52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8" s="165"/>
      <c r="K528" s="165"/>
      <c r="L528" s="166" t="str">
        <f t="shared" si="17"/>
        <v/>
      </c>
    </row>
    <row r="529" spans="2:12" s="117" customFormat="1" ht="20.100000000000001" customHeight="1" x14ac:dyDescent="0.2">
      <c r="B529" s="151"/>
      <c r="C529" s="152"/>
      <c r="D529" s="146"/>
      <c r="E529" s="146"/>
      <c r="F529" s="153"/>
      <c r="G529" s="153"/>
      <c r="H529" s="154" t="str">
        <f t="shared" si="16"/>
        <v/>
      </c>
      <c r="I52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29" s="165"/>
      <c r="K529" s="165"/>
      <c r="L529" s="166" t="str">
        <f t="shared" si="17"/>
        <v/>
      </c>
    </row>
    <row r="530" spans="2:12" s="117" customFormat="1" ht="20.100000000000001" customHeight="1" x14ac:dyDescent="0.2">
      <c r="B530" s="151"/>
      <c r="C530" s="152"/>
      <c r="D530" s="146"/>
      <c r="E530" s="146"/>
      <c r="F530" s="153"/>
      <c r="G530" s="153"/>
      <c r="H530" s="154" t="str">
        <f t="shared" si="16"/>
        <v/>
      </c>
      <c r="I53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0" s="165"/>
      <c r="K530" s="165"/>
      <c r="L530" s="166" t="str">
        <f t="shared" si="17"/>
        <v/>
      </c>
    </row>
    <row r="531" spans="2:12" s="117" customFormat="1" ht="20.100000000000001" customHeight="1" x14ac:dyDescent="0.2">
      <c r="B531" s="151"/>
      <c r="C531" s="152"/>
      <c r="D531" s="146"/>
      <c r="E531" s="146"/>
      <c r="F531" s="153"/>
      <c r="G531" s="153"/>
      <c r="H531" s="154" t="str">
        <f t="shared" si="16"/>
        <v/>
      </c>
      <c r="I53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1" s="165"/>
      <c r="K531" s="165"/>
      <c r="L531" s="166" t="str">
        <f t="shared" si="17"/>
        <v/>
      </c>
    </row>
    <row r="532" spans="2:12" s="117" customFormat="1" ht="20.100000000000001" customHeight="1" x14ac:dyDescent="0.2">
      <c r="B532" s="151"/>
      <c r="C532" s="152"/>
      <c r="D532" s="146"/>
      <c r="E532" s="146"/>
      <c r="F532" s="153"/>
      <c r="G532" s="153"/>
      <c r="H532" s="154" t="str">
        <f t="shared" si="16"/>
        <v/>
      </c>
      <c r="I53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2" s="165"/>
      <c r="K532" s="165"/>
      <c r="L532" s="166" t="str">
        <f t="shared" si="17"/>
        <v/>
      </c>
    </row>
    <row r="533" spans="2:12" s="117" customFormat="1" ht="20.100000000000001" customHeight="1" x14ac:dyDescent="0.2">
      <c r="B533" s="151"/>
      <c r="C533" s="152"/>
      <c r="D533" s="146"/>
      <c r="E533" s="146"/>
      <c r="F533" s="153"/>
      <c r="G533" s="153"/>
      <c r="H533" s="154" t="str">
        <f t="shared" si="16"/>
        <v/>
      </c>
      <c r="I53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3" s="165"/>
      <c r="K533" s="165"/>
      <c r="L533" s="166" t="str">
        <f t="shared" si="17"/>
        <v/>
      </c>
    </row>
    <row r="534" spans="2:12" s="117" customFormat="1" ht="20.100000000000001" customHeight="1" x14ac:dyDescent="0.2">
      <c r="B534" s="151"/>
      <c r="C534" s="152"/>
      <c r="D534" s="146"/>
      <c r="E534" s="146"/>
      <c r="F534" s="153"/>
      <c r="G534" s="153"/>
      <c r="H534" s="154" t="str">
        <f t="shared" si="16"/>
        <v/>
      </c>
      <c r="I53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4" s="165"/>
      <c r="K534" s="165"/>
      <c r="L534" s="166" t="str">
        <f t="shared" si="17"/>
        <v/>
      </c>
    </row>
    <row r="535" spans="2:12" s="117" customFormat="1" ht="20.100000000000001" customHeight="1" x14ac:dyDescent="0.2">
      <c r="B535" s="151"/>
      <c r="C535" s="152"/>
      <c r="D535" s="146"/>
      <c r="E535" s="146"/>
      <c r="F535" s="153"/>
      <c r="G535" s="153"/>
      <c r="H535" s="154" t="str">
        <f t="shared" si="16"/>
        <v/>
      </c>
      <c r="I53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5" s="165"/>
      <c r="K535" s="165"/>
      <c r="L535" s="166" t="str">
        <f t="shared" si="17"/>
        <v/>
      </c>
    </row>
    <row r="536" spans="2:12" s="117" customFormat="1" ht="20.100000000000001" customHeight="1" x14ac:dyDescent="0.2">
      <c r="B536" s="151"/>
      <c r="C536" s="152"/>
      <c r="D536" s="146"/>
      <c r="E536" s="146"/>
      <c r="F536" s="153"/>
      <c r="G536" s="153"/>
      <c r="H536" s="154" t="str">
        <f t="shared" si="16"/>
        <v/>
      </c>
      <c r="I53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6" s="165"/>
      <c r="K536" s="165"/>
      <c r="L536" s="166" t="str">
        <f t="shared" si="17"/>
        <v/>
      </c>
    </row>
    <row r="537" spans="2:12" s="117" customFormat="1" ht="20.100000000000001" customHeight="1" x14ac:dyDescent="0.2">
      <c r="B537" s="151"/>
      <c r="C537" s="152"/>
      <c r="D537" s="146"/>
      <c r="E537" s="146"/>
      <c r="F537" s="153"/>
      <c r="G537" s="153"/>
      <c r="H537" s="154" t="str">
        <f t="shared" si="16"/>
        <v/>
      </c>
      <c r="I53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7" s="165"/>
      <c r="K537" s="165"/>
      <c r="L537" s="166" t="str">
        <f t="shared" si="17"/>
        <v/>
      </c>
    </row>
    <row r="538" spans="2:12" s="117" customFormat="1" ht="20.100000000000001" customHeight="1" x14ac:dyDescent="0.2">
      <c r="B538" s="151"/>
      <c r="C538" s="152"/>
      <c r="D538" s="146"/>
      <c r="E538" s="146"/>
      <c r="F538" s="153"/>
      <c r="G538" s="153"/>
      <c r="H538" s="154" t="str">
        <f t="shared" si="16"/>
        <v/>
      </c>
      <c r="I53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8" s="165"/>
      <c r="K538" s="165"/>
      <c r="L538" s="166" t="str">
        <f t="shared" si="17"/>
        <v/>
      </c>
    </row>
    <row r="539" spans="2:12" s="117" customFormat="1" ht="20.100000000000001" customHeight="1" x14ac:dyDescent="0.2">
      <c r="B539" s="151"/>
      <c r="C539" s="152"/>
      <c r="D539" s="146"/>
      <c r="E539" s="146"/>
      <c r="F539" s="153"/>
      <c r="G539" s="153"/>
      <c r="H539" s="154" t="str">
        <f t="shared" si="16"/>
        <v/>
      </c>
      <c r="I53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39" s="165"/>
      <c r="K539" s="165"/>
      <c r="L539" s="166" t="str">
        <f t="shared" si="17"/>
        <v/>
      </c>
    </row>
    <row r="540" spans="2:12" s="117" customFormat="1" ht="20.100000000000001" customHeight="1" x14ac:dyDescent="0.2">
      <c r="B540" s="151"/>
      <c r="C540" s="152"/>
      <c r="D540" s="146"/>
      <c r="E540" s="146"/>
      <c r="F540" s="153"/>
      <c r="G540" s="153"/>
      <c r="H540" s="154" t="str">
        <f t="shared" si="16"/>
        <v/>
      </c>
      <c r="I54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0" s="165"/>
      <c r="K540" s="165"/>
      <c r="L540" s="166" t="str">
        <f t="shared" si="17"/>
        <v/>
      </c>
    </row>
    <row r="541" spans="2:12" s="117" customFormat="1" ht="20.100000000000001" customHeight="1" x14ac:dyDescent="0.2">
      <c r="B541" s="151"/>
      <c r="C541" s="152"/>
      <c r="D541" s="146"/>
      <c r="E541" s="146"/>
      <c r="F541" s="153"/>
      <c r="G541" s="153"/>
      <c r="H541" s="154" t="str">
        <f t="shared" si="16"/>
        <v/>
      </c>
      <c r="I54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1" s="165"/>
      <c r="K541" s="165"/>
      <c r="L541" s="166" t="str">
        <f t="shared" si="17"/>
        <v/>
      </c>
    </row>
    <row r="542" spans="2:12" s="117" customFormat="1" ht="20.100000000000001" customHeight="1" x14ac:dyDescent="0.2">
      <c r="B542" s="151"/>
      <c r="C542" s="152"/>
      <c r="D542" s="146"/>
      <c r="E542" s="146"/>
      <c r="F542" s="153"/>
      <c r="G542" s="153"/>
      <c r="H542" s="154" t="str">
        <f t="shared" si="16"/>
        <v/>
      </c>
      <c r="I54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2" s="165"/>
      <c r="K542" s="165"/>
      <c r="L542" s="166" t="str">
        <f t="shared" si="17"/>
        <v/>
      </c>
    </row>
    <row r="543" spans="2:12" s="117" customFormat="1" ht="20.100000000000001" customHeight="1" x14ac:dyDescent="0.2">
      <c r="B543" s="151"/>
      <c r="C543" s="152"/>
      <c r="D543" s="146"/>
      <c r="E543" s="146"/>
      <c r="F543" s="153"/>
      <c r="G543" s="153"/>
      <c r="H543" s="154" t="str">
        <f t="shared" si="16"/>
        <v/>
      </c>
      <c r="I54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3" s="165"/>
      <c r="K543" s="165"/>
      <c r="L543" s="166" t="str">
        <f t="shared" si="17"/>
        <v/>
      </c>
    </row>
    <row r="544" spans="2:12" s="117" customFormat="1" ht="20.100000000000001" customHeight="1" x14ac:dyDescent="0.2">
      <c r="B544" s="151"/>
      <c r="C544" s="152"/>
      <c r="D544" s="146"/>
      <c r="E544" s="146"/>
      <c r="F544" s="153"/>
      <c r="G544" s="153"/>
      <c r="H544" s="154" t="str">
        <f t="shared" si="16"/>
        <v/>
      </c>
      <c r="I54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4" s="165"/>
      <c r="K544" s="165"/>
      <c r="L544" s="166" t="str">
        <f t="shared" si="17"/>
        <v/>
      </c>
    </row>
    <row r="545" spans="2:12" s="117" customFormat="1" ht="20.100000000000001" customHeight="1" x14ac:dyDescent="0.2">
      <c r="B545" s="151"/>
      <c r="C545" s="152"/>
      <c r="D545" s="146"/>
      <c r="E545" s="146"/>
      <c r="F545" s="153"/>
      <c r="G545" s="153"/>
      <c r="H545" s="154" t="str">
        <f t="shared" si="16"/>
        <v/>
      </c>
      <c r="I54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5" s="165"/>
      <c r="K545" s="165"/>
      <c r="L545" s="166" t="str">
        <f t="shared" si="17"/>
        <v/>
      </c>
    </row>
    <row r="546" spans="2:12" s="117" customFormat="1" ht="20.100000000000001" customHeight="1" x14ac:dyDescent="0.2">
      <c r="B546" s="151"/>
      <c r="C546" s="152"/>
      <c r="D546" s="146"/>
      <c r="E546" s="146"/>
      <c r="F546" s="153"/>
      <c r="G546" s="153"/>
      <c r="H546" s="154" t="str">
        <f t="shared" si="16"/>
        <v/>
      </c>
      <c r="I54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6" s="165"/>
      <c r="K546" s="165"/>
      <c r="L546" s="166" t="str">
        <f t="shared" si="17"/>
        <v/>
      </c>
    </row>
    <row r="547" spans="2:12" s="117" customFormat="1" ht="20.100000000000001" customHeight="1" x14ac:dyDescent="0.2">
      <c r="B547" s="151"/>
      <c r="C547" s="152"/>
      <c r="D547" s="146"/>
      <c r="E547" s="146"/>
      <c r="F547" s="153"/>
      <c r="G547" s="153"/>
      <c r="H547" s="154" t="str">
        <f t="shared" si="16"/>
        <v/>
      </c>
      <c r="I54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7" s="165"/>
      <c r="K547" s="165"/>
      <c r="L547" s="166" t="str">
        <f t="shared" si="17"/>
        <v/>
      </c>
    </row>
    <row r="548" spans="2:12" s="117" customFormat="1" ht="20.100000000000001" customHeight="1" x14ac:dyDescent="0.2">
      <c r="B548" s="151"/>
      <c r="C548" s="152"/>
      <c r="D548" s="146"/>
      <c r="E548" s="146"/>
      <c r="F548" s="153"/>
      <c r="G548" s="153"/>
      <c r="H548" s="154" t="str">
        <f t="shared" si="16"/>
        <v/>
      </c>
      <c r="I54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8" s="165"/>
      <c r="K548" s="165"/>
      <c r="L548" s="166" t="str">
        <f t="shared" si="17"/>
        <v/>
      </c>
    </row>
    <row r="549" spans="2:12" s="117" customFormat="1" ht="20.100000000000001" customHeight="1" x14ac:dyDescent="0.2">
      <c r="B549" s="151"/>
      <c r="C549" s="152"/>
      <c r="D549" s="146"/>
      <c r="E549" s="146"/>
      <c r="F549" s="153"/>
      <c r="G549" s="153"/>
      <c r="H549" s="154" t="str">
        <f t="shared" si="16"/>
        <v/>
      </c>
      <c r="I54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49" s="165"/>
      <c r="K549" s="165"/>
      <c r="L549" s="166" t="str">
        <f t="shared" si="17"/>
        <v/>
      </c>
    </row>
    <row r="550" spans="2:12" s="117" customFormat="1" ht="20.100000000000001" customHeight="1" x14ac:dyDescent="0.2">
      <c r="B550" s="151"/>
      <c r="C550" s="152"/>
      <c r="D550" s="146"/>
      <c r="E550" s="146"/>
      <c r="F550" s="153"/>
      <c r="G550" s="153"/>
      <c r="H550" s="154" t="str">
        <f t="shared" si="16"/>
        <v/>
      </c>
      <c r="I55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0" s="165"/>
      <c r="K550" s="165"/>
      <c r="L550" s="166" t="str">
        <f t="shared" si="17"/>
        <v/>
      </c>
    </row>
    <row r="551" spans="2:12" s="117" customFormat="1" ht="20.100000000000001" customHeight="1" x14ac:dyDescent="0.2">
      <c r="B551" s="151"/>
      <c r="C551" s="152"/>
      <c r="D551" s="146"/>
      <c r="E551" s="146"/>
      <c r="F551" s="153"/>
      <c r="G551" s="153"/>
      <c r="H551" s="154" t="str">
        <f t="shared" si="16"/>
        <v/>
      </c>
      <c r="I55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1" s="165"/>
      <c r="K551" s="165"/>
      <c r="L551" s="166" t="str">
        <f t="shared" si="17"/>
        <v/>
      </c>
    </row>
    <row r="552" spans="2:12" s="117" customFormat="1" ht="20.100000000000001" customHeight="1" x14ac:dyDescent="0.2">
      <c r="B552" s="151"/>
      <c r="C552" s="152"/>
      <c r="D552" s="146"/>
      <c r="E552" s="146"/>
      <c r="F552" s="153"/>
      <c r="G552" s="153"/>
      <c r="H552" s="154" t="str">
        <f t="shared" si="16"/>
        <v/>
      </c>
      <c r="I55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2" s="165"/>
      <c r="K552" s="165"/>
      <c r="L552" s="166" t="str">
        <f t="shared" si="17"/>
        <v/>
      </c>
    </row>
    <row r="553" spans="2:12" s="117" customFormat="1" ht="20.100000000000001" customHeight="1" x14ac:dyDescent="0.2">
      <c r="B553" s="151"/>
      <c r="C553" s="152"/>
      <c r="D553" s="146"/>
      <c r="E553" s="146"/>
      <c r="F553" s="153"/>
      <c r="G553" s="153"/>
      <c r="H553" s="154" t="str">
        <f t="shared" si="16"/>
        <v/>
      </c>
      <c r="I55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3" s="165"/>
      <c r="K553" s="165"/>
      <c r="L553" s="166" t="str">
        <f t="shared" si="17"/>
        <v/>
      </c>
    </row>
    <row r="554" spans="2:12" s="117" customFormat="1" ht="20.100000000000001" customHeight="1" x14ac:dyDescent="0.2">
      <c r="B554" s="151"/>
      <c r="C554" s="152"/>
      <c r="D554" s="146"/>
      <c r="E554" s="146"/>
      <c r="F554" s="153"/>
      <c r="G554" s="153"/>
      <c r="H554" s="154" t="str">
        <f t="shared" si="16"/>
        <v/>
      </c>
      <c r="I55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4" s="165"/>
      <c r="K554" s="165"/>
      <c r="L554" s="166" t="str">
        <f t="shared" si="17"/>
        <v/>
      </c>
    </row>
    <row r="555" spans="2:12" s="117" customFormat="1" ht="20.100000000000001" customHeight="1" x14ac:dyDescent="0.2">
      <c r="B555" s="151"/>
      <c r="C555" s="152"/>
      <c r="D555" s="146"/>
      <c r="E555" s="146"/>
      <c r="F555" s="153"/>
      <c r="G555" s="153"/>
      <c r="H555" s="154" t="str">
        <f t="shared" si="16"/>
        <v/>
      </c>
      <c r="I55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5" s="165"/>
      <c r="K555" s="165"/>
      <c r="L555" s="166" t="str">
        <f t="shared" si="17"/>
        <v/>
      </c>
    </row>
    <row r="556" spans="2:12" s="117" customFormat="1" ht="20.100000000000001" customHeight="1" x14ac:dyDescent="0.2">
      <c r="B556" s="151"/>
      <c r="C556" s="152"/>
      <c r="D556" s="146"/>
      <c r="E556" s="146"/>
      <c r="F556" s="153"/>
      <c r="G556" s="153"/>
      <c r="H556" s="154" t="str">
        <f t="shared" si="16"/>
        <v/>
      </c>
      <c r="I55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6" s="165"/>
      <c r="K556" s="165"/>
      <c r="L556" s="166" t="str">
        <f t="shared" si="17"/>
        <v/>
      </c>
    </row>
    <row r="557" spans="2:12" s="117" customFormat="1" ht="20.100000000000001" customHeight="1" x14ac:dyDescent="0.2">
      <c r="B557" s="151"/>
      <c r="C557" s="152"/>
      <c r="D557" s="146"/>
      <c r="E557" s="146"/>
      <c r="F557" s="153"/>
      <c r="G557" s="153"/>
      <c r="H557" s="154" t="str">
        <f t="shared" si="16"/>
        <v/>
      </c>
      <c r="I55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7" s="165"/>
      <c r="K557" s="165"/>
      <c r="L557" s="166" t="str">
        <f t="shared" si="17"/>
        <v/>
      </c>
    </row>
    <row r="558" spans="2:12" s="117" customFormat="1" ht="20.100000000000001" customHeight="1" x14ac:dyDescent="0.2">
      <c r="B558" s="151"/>
      <c r="C558" s="152"/>
      <c r="D558" s="146"/>
      <c r="E558" s="146"/>
      <c r="F558" s="153"/>
      <c r="G558" s="153"/>
      <c r="H558" s="154" t="str">
        <f t="shared" si="16"/>
        <v/>
      </c>
      <c r="I55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8" s="165"/>
      <c r="K558" s="165"/>
      <c r="L558" s="166" t="str">
        <f t="shared" si="17"/>
        <v/>
      </c>
    </row>
    <row r="559" spans="2:12" s="117" customFormat="1" ht="20.100000000000001" customHeight="1" x14ac:dyDescent="0.2">
      <c r="B559" s="151"/>
      <c r="C559" s="152"/>
      <c r="D559" s="146"/>
      <c r="E559" s="146"/>
      <c r="F559" s="153"/>
      <c r="G559" s="153"/>
      <c r="H559" s="154" t="str">
        <f t="shared" si="16"/>
        <v/>
      </c>
      <c r="I55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59" s="165"/>
      <c r="K559" s="165"/>
      <c r="L559" s="166" t="str">
        <f t="shared" si="17"/>
        <v/>
      </c>
    </row>
    <row r="560" spans="2:12" s="117" customFormat="1" ht="20.100000000000001" customHeight="1" x14ac:dyDescent="0.2">
      <c r="B560" s="151"/>
      <c r="C560" s="152"/>
      <c r="D560" s="146"/>
      <c r="E560" s="146"/>
      <c r="F560" s="153"/>
      <c r="G560" s="153"/>
      <c r="H560" s="154" t="str">
        <f t="shared" si="16"/>
        <v/>
      </c>
      <c r="I56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0" s="165"/>
      <c r="K560" s="165"/>
      <c r="L560" s="166" t="str">
        <f t="shared" si="17"/>
        <v/>
      </c>
    </row>
    <row r="561" spans="2:12" s="117" customFormat="1" ht="20.100000000000001" customHeight="1" x14ac:dyDescent="0.2">
      <c r="B561" s="151"/>
      <c r="C561" s="152"/>
      <c r="D561" s="146"/>
      <c r="E561" s="146"/>
      <c r="F561" s="153"/>
      <c r="G561" s="153"/>
      <c r="H561" s="154" t="str">
        <f t="shared" si="16"/>
        <v/>
      </c>
      <c r="I56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1" s="165"/>
      <c r="K561" s="165"/>
      <c r="L561" s="166" t="str">
        <f t="shared" si="17"/>
        <v/>
      </c>
    </row>
    <row r="562" spans="2:12" s="117" customFormat="1" ht="20.100000000000001" customHeight="1" x14ac:dyDescent="0.2">
      <c r="B562" s="151"/>
      <c r="C562" s="152"/>
      <c r="D562" s="146"/>
      <c r="E562" s="146"/>
      <c r="F562" s="153"/>
      <c r="G562" s="153"/>
      <c r="H562" s="154" t="str">
        <f t="shared" si="16"/>
        <v/>
      </c>
      <c r="I56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2" s="165"/>
      <c r="K562" s="165"/>
      <c r="L562" s="166" t="str">
        <f t="shared" si="17"/>
        <v/>
      </c>
    </row>
    <row r="563" spans="2:12" s="117" customFormat="1" ht="20.100000000000001" customHeight="1" x14ac:dyDescent="0.2">
      <c r="B563" s="151"/>
      <c r="C563" s="152"/>
      <c r="D563" s="146"/>
      <c r="E563" s="146"/>
      <c r="F563" s="153"/>
      <c r="G563" s="153"/>
      <c r="H563" s="154" t="str">
        <f t="shared" si="16"/>
        <v/>
      </c>
      <c r="I56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3" s="165"/>
      <c r="K563" s="165"/>
      <c r="L563" s="166" t="str">
        <f t="shared" si="17"/>
        <v/>
      </c>
    </row>
    <row r="564" spans="2:12" s="117" customFormat="1" ht="20.100000000000001" customHeight="1" x14ac:dyDescent="0.2">
      <c r="B564" s="151"/>
      <c r="C564" s="152"/>
      <c r="D564" s="146"/>
      <c r="E564" s="146"/>
      <c r="F564" s="153"/>
      <c r="G564" s="153"/>
      <c r="H564" s="154" t="str">
        <f t="shared" si="16"/>
        <v/>
      </c>
      <c r="I56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4" s="165"/>
      <c r="K564" s="165"/>
      <c r="L564" s="166" t="str">
        <f t="shared" si="17"/>
        <v/>
      </c>
    </row>
    <row r="565" spans="2:12" s="117" customFormat="1" ht="20.100000000000001" customHeight="1" x14ac:dyDescent="0.2">
      <c r="B565" s="151"/>
      <c r="C565" s="152"/>
      <c r="D565" s="146"/>
      <c r="E565" s="146"/>
      <c r="F565" s="153"/>
      <c r="G565" s="153"/>
      <c r="H565" s="154" t="str">
        <f t="shared" si="16"/>
        <v/>
      </c>
      <c r="I56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5" s="165"/>
      <c r="K565" s="165"/>
      <c r="L565" s="166" t="str">
        <f t="shared" si="17"/>
        <v/>
      </c>
    </row>
    <row r="566" spans="2:12" s="117" customFormat="1" ht="20.100000000000001" customHeight="1" x14ac:dyDescent="0.2">
      <c r="B566" s="151"/>
      <c r="C566" s="152"/>
      <c r="D566" s="146"/>
      <c r="E566" s="146"/>
      <c r="F566" s="153"/>
      <c r="G566" s="153"/>
      <c r="H566" s="154" t="str">
        <f t="shared" si="16"/>
        <v/>
      </c>
      <c r="I56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6" s="165"/>
      <c r="K566" s="165"/>
      <c r="L566" s="166" t="str">
        <f t="shared" si="17"/>
        <v/>
      </c>
    </row>
    <row r="567" spans="2:12" s="117" customFormat="1" ht="20.100000000000001" customHeight="1" x14ac:dyDescent="0.2">
      <c r="B567" s="151"/>
      <c r="C567" s="152"/>
      <c r="D567" s="146"/>
      <c r="E567" s="146"/>
      <c r="F567" s="153"/>
      <c r="G567" s="153"/>
      <c r="H567" s="154" t="str">
        <f t="shared" si="16"/>
        <v/>
      </c>
      <c r="I56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7" s="165"/>
      <c r="K567" s="165"/>
      <c r="L567" s="166" t="str">
        <f t="shared" si="17"/>
        <v/>
      </c>
    </row>
    <row r="568" spans="2:12" s="117" customFormat="1" ht="20.100000000000001" customHeight="1" x14ac:dyDescent="0.2">
      <c r="B568" s="151"/>
      <c r="C568" s="152"/>
      <c r="D568" s="146"/>
      <c r="E568" s="146"/>
      <c r="F568" s="153"/>
      <c r="G568" s="153"/>
      <c r="H568" s="154" t="str">
        <f t="shared" si="16"/>
        <v/>
      </c>
      <c r="I56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8" s="165"/>
      <c r="K568" s="165"/>
      <c r="L568" s="166" t="str">
        <f t="shared" si="17"/>
        <v/>
      </c>
    </row>
    <row r="569" spans="2:12" s="117" customFormat="1" ht="20.100000000000001" customHeight="1" x14ac:dyDescent="0.2">
      <c r="B569" s="151"/>
      <c r="C569" s="152"/>
      <c r="D569" s="146"/>
      <c r="E569" s="146"/>
      <c r="F569" s="153"/>
      <c r="G569" s="153"/>
      <c r="H569" s="154" t="str">
        <f t="shared" si="16"/>
        <v/>
      </c>
      <c r="I56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69" s="165"/>
      <c r="K569" s="165"/>
      <c r="L569" s="166" t="str">
        <f t="shared" si="17"/>
        <v/>
      </c>
    </row>
    <row r="570" spans="2:12" s="117" customFormat="1" ht="20.100000000000001" customHeight="1" x14ac:dyDescent="0.2">
      <c r="B570" s="151"/>
      <c r="C570" s="152"/>
      <c r="D570" s="146"/>
      <c r="E570" s="146"/>
      <c r="F570" s="153"/>
      <c r="G570" s="153"/>
      <c r="H570" s="154" t="str">
        <f t="shared" si="16"/>
        <v/>
      </c>
      <c r="I57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0" s="165"/>
      <c r="K570" s="165"/>
      <c r="L570" s="166" t="str">
        <f t="shared" si="17"/>
        <v/>
      </c>
    </row>
    <row r="571" spans="2:12" s="117" customFormat="1" ht="20.100000000000001" customHeight="1" x14ac:dyDescent="0.2">
      <c r="B571" s="151"/>
      <c r="C571" s="152"/>
      <c r="D571" s="146"/>
      <c r="E571" s="146"/>
      <c r="F571" s="153"/>
      <c r="G571" s="153"/>
      <c r="H571" s="154" t="str">
        <f t="shared" si="16"/>
        <v/>
      </c>
      <c r="I57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1" s="165"/>
      <c r="K571" s="165"/>
      <c r="L571" s="166" t="str">
        <f t="shared" si="17"/>
        <v/>
      </c>
    </row>
    <row r="572" spans="2:12" s="117" customFormat="1" ht="20.100000000000001" customHeight="1" x14ac:dyDescent="0.2">
      <c r="B572" s="151"/>
      <c r="C572" s="152"/>
      <c r="D572" s="146"/>
      <c r="E572" s="146"/>
      <c r="F572" s="153"/>
      <c r="G572" s="153"/>
      <c r="H572" s="154" t="str">
        <f t="shared" si="16"/>
        <v/>
      </c>
      <c r="I57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2" s="165"/>
      <c r="K572" s="165"/>
      <c r="L572" s="166" t="str">
        <f t="shared" si="17"/>
        <v/>
      </c>
    </row>
    <row r="573" spans="2:12" s="117" customFormat="1" ht="20.100000000000001" customHeight="1" x14ac:dyDescent="0.2">
      <c r="B573" s="151"/>
      <c r="C573" s="152"/>
      <c r="D573" s="146"/>
      <c r="E573" s="146"/>
      <c r="F573" s="153"/>
      <c r="G573" s="153"/>
      <c r="H573" s="154" t="str">
        <f t="shared" si="16"/>
        <v/>
      </c>
      <c r="I57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3" s="165"/>
      <c r="K573" s="165"/>
      <c r="L573" s="166" t="str">
        <f t="shared" si="17"/>
        <v/>
      </c>
    </row>
    <row r="574" spans="2:12" s="117" customFormat="1" ht="20.100000000000001" customHeight="1" x14ac:dyDescent="0.2">
      <c r="B574" s="151"/>
      <c r="C574" s="152"/>
      <c r="D574" s="146"/>
      <c r="E574" s="146"/>
      <c r="F574" s="153"/>
      <c r="G574" s="153"/>
      <c r="H574" s="154" t="str">
        <f t="shared" si="16"/>
        <v/>
      </c>
      <c r="I57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4" s="165"/>
      <c r="K574" s="165"/>
      <c r="L574" s="166" t="str">
        <f t="shared" si="17"/>
        <v/>
      </c>
    </row>
    <row r="575" spans="2:12" s="117" customFormat="1" ht="20.100000000000001" customHeight="1" x14ac:dyDescent="0.2">
      <c r="B575" s="151"/>
      <c r="C575" s="152"/>
      <c r="D575" s="146"/>
      <c r="E575" s="146"/>
      <c r="F575" s="153"/>
      <c r="G575" s="153"/>
      <c r="H575" s="154" t="str">
        <f t="shared" si="16"/>
        <v/>
      </c>
      <c r="I57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5" s="165"/>
      <c r="K575" s="165"/>
      <c r="L575" s="166" t="str">
        <f t="shared" si="17"/>
        <v/>
      </c>
    </row>
    <row r="576" spans="2:12" s="117" customFormat="1" ht="20.100000000000001" customHeight="1" x14ac:dyDescent="0.2">
      <c r="B576" s="151"/>
      <c r="C576" s="152"/>
      <c r="D576" s="146"/>
      <c r="E576" s="146"/>
      <c r="F576" s="153"/>
      <c r="G576" s="153"/>
      <c r="H576" s="154" t="str">
        <f t="shared" si="16"/>
        <v/>
      </c>
      <c r="I57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6" s="165"/>
      <c r="K576" s="165"/>
      <c r="L576" s="166" t="str">
        <f t="shared" si="17"/>
        <v/>
      </c>
    </row>
    <row r="577" spans="2:12" s="117" customFormat="1" ht="20.100000000000001" customHeight="1" x14ac:dyDescent="0.2">
      <c r="B577" s="151"/>
      <c r="C577" s="152"/>
      <c r="D577" s="146"/>
      <c r="E577" s="146"/>
      <c r="F577" s="153"/>
      <c r="G577" s="153"/>
      <c r="H577" s="154" t="str">
        <f t="shared" si="16"/>
        <v/>
      </c>
      <c r="I57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7" s="165"/>
      <c r="K577" s="165"/>
      <c r="L577" s="166" t="str">
        <f t="shared" si="17"/>
        <v/>
      </c>
    </row>
    <row r="578" spans="2:12" s="117" customFormat="1" ht="20.100000000000001" customHeight="1" x14ac:dyDescent="0.2">
      <c r="B578" s="151"/>
      <c r="C578" s="152"/>
      <c r="D578" s="146"/>
      <c r="E578" s="146"/>
      <c r="F578" s="153"/>
      <c r="G578" s="153"/>
      <c r="H578" s="154" t="str">
        <f t="shared" si="16"/>
        <v/>
      </c>
      <c r="I57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8" s="165"/>
      <c r="K578" s="165"/>
      <c r="L578" s="166" t="str">
        <f t="shared" si="17"/>
        <v/>
      </c>
    </row>
    <row r="579" spans="2:12" s="117" customFormat="1" ht="20.100000000000001" customHeight="1" x14ac:dyDescent="0.2">
      <c r="B579" s="151"/>
      <c r="C579" s="152"/>
      <c r="D579" s="146"/>
      <c r="E579" s="146"/>
      <c r="F579" s="153"/>
      <c r="G579" s="153"/>
      <c r="H579" s="154" t="str">
        <f t="shared" si="16"/>
        <v/>
      </c>
      <c r="I57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79" s="165"/>
      <c r="K579" s="165"/>
      <c r="L579" s="166" t="str">
        <f t="shared" si="17"/>
        <v/>
      </c>
    </row>
    <row r="580" spans="2:12" s="117" customFormat="1" ht="20.100000000000001" customHeight="1" x14ac:dyDescent="0.2">
      <c r="B580" s="151"/>
      <c r="C580" s="152"/>
      <c r="D580" s="146"/>
      <c r="E580" s="146"/>
      <c r="F580" s="153"/>
      <c r="G580" s="153"/>
      <c r="H580" s="154" t="str">
        <f t="shared" si="16"/>
        <v/>
      </c>
      <c r="I58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0" s="165"/>
      <c r="K580" s="165"/>
      <c r="L580" s="166" t="str">
        <f t="shared" si="17"/>
        <v/>
      </c>
    </row>
    <row r="581" spans="2:12" s="117" customFormat="1" ht="20.100000000000001" customHeight="1" x14ac:dyDescent="0.2">
      <c r="B581" s="151"/>
      <c r="C581" s="152"/>
      <c r="D581" s="146"/>
      <c r="E581" s="146"/>
      <c r="F581" s="153"/>
      <c r="G581" s="153"/>
      <c r="H581" s="154" t="str">
        <f t="shared" ref="H581:H604" si="18">IFERROR(G581/F581,"")</f>
        <v/>
      </c>
      <c r="I58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1" s="165"/>
      <c r="K581" s="165"/>
      <c r="L581" s="166" t="str">
        <f t="shared" ref="L581:L604" si="19">IFERROR(K581/J581,"")</f>
        <v/>
      </c>
    </row>
    <row r="582" spans="2:12" s="117" customFormat="1" ht="20.100000000000001" customHeight="1" x14ac:dyDescent="0.2">
      <c r="B582" s="151"/>
      <c r="C582" s="152"/>
      <c r="D582" s="146"/>
      <c r="E582" s="146"/>
      <c r="F582" s="153"/>
      <c r="G582" s="153"/>
      <c r="H582" s="154" t="str">
        <f t="shared" si="18"/>
        <v/>
      </c>
      <c r="I58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2" s="165"/>
      <c r="K582" s="165"/>
      <c r="L582" s="166" t="str">
        <f t="shared" si="19"/>
        <v/>
      </c>
    </row>
    <row r="583" spans="2:12" s="117" customFormat="1" ht="20.100000000000001" customHeight="1" x14ac:dyDescent="0.2">
      <c r="B583" s="151"/>
      <c r="C583" s="152"/>
      <c r="D583" s="146"/>
      <c r="E583" s="146"/>
      <c r="F583" s="153"/>
      <c r="G583" s="153"/>
      <c r="H583" s="154" t="str">
        <f t="shared" si="18"/>
        <v/>
      </c>
      <c r="I58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3" s="165"/>
      <c r="K583" s="165"/>
      <c r="L583" s="166" t="str">
        <f t="shared" si="19"/>
        <v/>
      </c>
    </row>
    <row r="584" spans="2:12" s="117" customFormat="1" ht="20.100000000000001" customHeight="1" x14ac:dyDescent="0.2">
      <c r="B584" s="151"/>
      <c r="C584" s="152"/>
      <c r="D584" s="146"/>
      <c r="E584" s="146"/>
      <c r="F584" s="153"/>
      <c r="G584" s="153"/>
      <c r="H584" s="154" t="str">
        <f t="shared" si="18"/>
        <v/>
      </c>
      <c r="I58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4" s="165"/>
      <c r="K584" s="165"/>
      <c r="L584" s="166" t="str">
        <f t="shared" si="19"/>
        <v/>
      </c>
    </row>
    <row r="585" spans="2:12" s="117" customFormat="1" ht="20.100000000000001" customHeight="1" x14ac:dyDescent="0.2">
      <c r="B585" s="151"/>
      <c r="C585" s="152"/>
      <c r="D585" s="146"/>
      <c r="E585" s="146"/>
      <c r="F585" s="153"/>
      <c r="G585" s="153"/>
      <c r="H585" s="154" t="str">
        <f t="shared" si="18"/>
        <v/>
      </c>
      <c r="I58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5" s="165"/>
      <c r="K585" s="165"/>
      <c r="L585" s="166" t="str">
        <f t="shared" si="19"/>
        <v/>
      </c>
    </row>
    <row r="586" spans="2:12" s="117" customFormat="1" ht="20.100000000000001" customHeight="1" x14ac:dyDescent="0.2">
      <c r="B586" s="151"/>
      <c r="C586" s="152"/>
      <c r="D586" s="146"/>
      <c r="E586" s="146"/>
      <c r="F586" s="153"/>
      <c r="G586" s="153"/>
      <c r="H586" s="154" t="str">
        <f t="shared" si="18"/>
        <v/>
      </c>
      <c r="I58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6" s="165"/>
      <c r="K586" s="165"/>
      <c r="L586" s="166" t="str">
        <f t="shared" si="19"/>
        <v/>
      </c>
    </row>
    <row r="587" spans="2:12" s="117" customFormat="1" ht="20.100000000000001" customHeight="1" x14ac:dyDescent="0.2">
      <c r="B587" s="151"/>
      <c r="C587" s="152"/>
      <c r="D587" s="146"/>
      <c r="E587" s="146"/>
      <c r="F587" s="153"/>
      <c r="G587" s="153"/>
      <c r="H587" s="154" t="str">
        <f t="shared" si="18"/>
        <v/>
      </c>
      <c r="I58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7" s="165"/>
      <c r="K587" s="165"/>
      <c r="L587" s="166" t="str">
        <f t="shared" si="19"/>
        <v/>
      </c>
    </row>
    <row r="588" spans="2:12" s="117" customFormat="1" ht="20.100000000000001" customHeight="1" x14ac:dyDescent="0.2">
      <c r="B588" s="151"/>
      <c r="C588" s="152"/>
      <c r="D588" s="146"/>
      <c r="E588" s="146"/>
      <c r="F588" s="153"/>
      <c r="G588" s="153"/>
      <c r="H588" s="154" t="str">
        <f t="shared" si="18"/>
        <v/>
      </c>
      <c r="I58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8" s="165"/>
      <c r="K588" s="165"/>
      <c r="L588" s="166" t="str">
        <f t="shared" si="19"/>
        <v/>
      </c>
    </row>
    <row r="589" spans="2:12" s="117" customFormat="1" ht="20.100000000000001" customHeight="1" x14ac:dyDescent="0.2">
      <c r="B589" s="151"/>
      <c r="C589" s="152"/>
      <c r="D589" s="146"/>
      <c r="E589" s="146"/>
      <c r="F589" s="153"/>
      <c r="G589" s="153"/>
      <c r="H589" s="154" t="str">
        <f t="shared" si="18"/>
        <v/>
      </c>
      <c r="I58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89" s="165"/>
      <c r="K589" s="165"/>
      <c r="L589" s="166" t="str">
        <f t="shared" si="19"/>
        <v/>
      </c>
    </row>
    <row r="590" spans="2:12" s="117" customFormat="1" ht="20.100000000000001" customHeight="1" x14ac:dyDescent="0.2">
      <c r="B590" s="151"/>
      <c r="C590" s="152"/>
      <c r="D590" s="146"/>
      <c r="E590" s="146"/>
      <c r="F590" s="153"/>
      <c r="G590" s="153"/>
      <c r="H590" s="154" t="str">
        <f t="shared" si="18"/>
        <v/>
      </c>
      <c r="I59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0" s="165"/>
      <c r="K590" s="165"/>
      <c r="L590" s="166" t="str">
        <f t="shared" si="19"/>
        <v/>
      </c>
    </row>
    <row r="591" spans="2:12" s="117" customFormat="1" ht="20.100000000000001" customHeight="1" x14ac:dyDescent="0.2">
      <c r="B591" s="151"/>
      <c r="C591" s="152"/>
      <c r="D591" s="146"/>
      <c r="E591" s="146"/>
      <c r="F591" s="153"/>
      <c r="G591" s="153"/>
      <c r="H591" s="154" t="str">
        <f t="shared" si="18"/>
        <v/>
      </c>
      <c r="I59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1" s="165"/>
      <c r="K591" s="165"/>
      <c r="L591" s="166" t="str">
        <f t="shared" si="19"/>
        <v/>
      </c>
    </row>
    <row r="592" spans="2:12" s="117" customFormat="1" ht="20.100000000000001" customHeight="1" x14ac:dyDescent="0.2">
      <c r="B592" s="151"/>
      <c r="C592" s="152"/>
      <c r="D592" s="146"/>
      <c r="E592" s="146"/>
      <c r="F592" s="153"/>
      <c r="G592" s="153"/>
      <c r="H592" s="154" t="str">
        <f t="shared" si="18"/>
        <v/>
      </c>
      <c r="I59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2" s="165"/>
      <c r="K592" s="165"/>
      <c r="L592" s="166" t="str">
        <f t="shared" si="19"/>
        <v/>
      </c>
    </row>
    <row r="593" spans="2:12" s="117" customFormat="1" ht="20.100000000000001" customHeight="1" x14ac:dyDescent="0.2">
      <c r="B593" s="151"/>
      <c r="C593" s="152"/>
      <c r="D593" s="146"/>
      <c r="E593" s="146"/>
      <c r="F593" s="153"/>
      <c r="G593" s="153"/>
      <c r="H593" s="154" t="str">
        <f t="shared" si="18"/>
        <v/>
      </c>
      <c r="I59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3" s="165"/>
      <c r="K593" s="165"/>
      <c r="L593" s="166" t="str">
        <f t="shared" si="19"/>
        <v/>
      </c>
    </row>
    <row r="594" spans="2:12" s="117" customFormat="1" ht="20.100000000000001" customHeight="1" x14ac:dyDescent="0.2">
      <c r="B594" s="151"/>
      <c r="C594" s="152"/>
      <c r="D594" s="146"/>
      <c r="E594" s="146"/>
      <c r="F594" s="153"/>
      <c r="G594" s="153"/>
      <c r="H594" s="154" t="str">
        <f t="shared" si="18"/>
        <v/>
      </c>
      <c r="I594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4" s="165"/>
      <c r="K594" s="165"/>
      <c r="L594" s="166" t="str">
        <f t="shared" si="19"/>
        <v/>
      </c>
    </row>
    <row r="595" spans="2:12" s="117" customFormat="1" ht="20.100000000000001" customHeight="1" x14ac:dyDescent="0.2">
      <c r="B595" s="151"/>
      <c r="C595" s="152"/>
      <c r="D595" s="146"/>
      <c r="E595" s="146"/>
      <c r="F595" s="153"/>
      <c r="G595" s="153"/>
      <c r="H595" s="154" t="str">
        <f t="shared" si="18"/>
        <v/>
      </c>
      <c r="I595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5" s="165"/>
      <c r="K595" s="165"/>
      <c r="L595" s="166" t="str">
        <f t="shared" si="19"/>
        <v/>
      </c>
    </row>
    <row r="596" spans="2:12" s="117" customFormat="1" ht="20.100000000000001" customHeight="1" x14ac:dyDescent="0.2">
      <c r="B596" s="151"/>
      <c r="C596" s="152"/>
      <c r="D596" s="146"/>
      <c r="E596" s="146"/>
      <c r="F596" s="153"/>
      <c r="G596" s="153"/>
      <c r="H596" s="154" t="str">
        <f t="shared" si="18"/>
        <v/>
      </c>
      <c r="I596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6" s="165"/>
      <c r="K596" s="165"/>
      <c r="L596" s="166" t="str">
        <f t="shared" si="19"/>
        <v/>
      </c>
    </row>
    <row r="597" spans="2:12" s="117" customFormat="1" ht="20.100000000000001" customHeight="1" x14ac:dyDescent="0.2">
      <c r="B597" s="151"/>
      <c r="C597" s="152"/>
      <c r="D597" s="146"/>
      <c r="E597" s="146"/>
      <c r="F597" s="153"/>
      <c r="G597" s="153"/>
      <c r="H597" s="154" t="str">
        <f t="shared" si="18"/>
        <v/>
      </c>
      <c r="I597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7" s="165"/>
      <c r="K597" s="165"/>
      <c r="L597" s="166" t="str">
        <f t="shared" si="19"/>
        <v/>
      </c>
    </row>
    <row r="598" spans="2:12" s="117" customFormat="1" ht="20.100000000000001" customHeight="1" x14ac:dyDescent="0.2">
      <c r="B598" s="151"/>
      <c r="C598" s="152"/>
      <c r="D598" s="146"/>
      <c r="E598" s="146"/>
      <c r="F598" s="153"/>
      <c r="G598" s="153"/>
      <c r="H598" s="154" t="str">
        <f t="shared" si="18"/>
        <v/>
      </c>
      <c r="I598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8" s="165"/>
      <c r="K598" s="165"/>
      <c r="L598" s="166" t="str">
        <f t="shared" si="19"/>
        <v/>
      </c>
    </row>
    <row r="599" spans="2:12" s="117" customFormat="1" ht="20.100000000000001" customHeight="1" x14ac:dyDescent="0.2">
      <c r="B599" s="151"/>
      <c r="C599" s="152"/>
      <c r="D599" s="146"/>
      <c r="E599" s="146"/>
      <c r="F599" s="153"/>
      <c r="G599" s="153"/>
      <c r="H599" s="154" t="str">
        <f t="shared" si="18"/>
        <v/>
      </c>
      <c r="I599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599" s="165"/>
      <c r="K599" s="165"/>
      <c r="L599" s="166" t="str">
        <f t="shared" si="19"/>
        <v/>
      </c>
    </row>
    <row r="600" spans="2:12" s="117" customFormat="1" ht="20.100000000000001" customHeight="1" x14ac:dyDescent="0.2">
      <c r="B600" s="151"/>
      <c r="C600" s="152"/>
      <c r="D600" s="146"/>
      <c r="E600" s="146"/>
      <c r="F600" s="153"/>
      <c r="G600" s="153"/>
      <c r="H600" s="154" t="str">
        <f t="shared" si="18"/>
        <v/>
      </c>
      <c r="I600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600" s="165"/>
      <c r="K600" s="165"/>
      <c r="L600" s="166" t="str">
        <f t="shared" si="19"/>
        <v/>
      </c>
    </row>
    <row r="601" spans="2:12" s="117" customFormat="1" ht="20.100000000000001" customHeight="1" x14ac:dyDescent="0.2">
      <c r="B601" s="151"/>
      <c r="C601" s="152"/>
      <c r="D601" s="146"/>
      <c r="E601" s="146"/>
      <c r="F601" s="153"/>
      <c r="G601" s="153"/>
      <c r="H601" s="154" t="str">
        <f t="shared" si="18"/>
        <v/>
      </c>
      <c r="I601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601" s="165"/>
      <c r="K601" s="165"/>
      <c r="L601" s="166" t="str">
        <f t="shared" si="19"/>
        <v/>
      </c>
    </row>
    <row r="602" spans="2:12" s="117" customFormat="1" ht="20.100000000000001" customHeight="1" x14ac:dyDescent="0.2">
      <c r="B602" s="151"/>
      <c r="C602" s="152"/>
      <c r="D602" s="146"/>
      <c r="E602" s="146"/>
      <c r="F602" s="153"/>
      <c r="G602" s="153"/>
      <c r="H602" s="154" t="str">
        <f t="shared" si="18"/>
        <v/>
      </c>
      <c r="I602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602" s="165"/>
      <c r="K602" s="165"/>
      <c r="L602" s="166" t="str">
        <f t="shared" si="19"/>
        <v/>
      </c>
    </row>
    <row r="603" spans="2:12" s="117" customFormat="1" ht="20.100000000000001" customHeight="1" x14ac:dyDescent="0.2">
      <c r="B603" s="151"/>
      <c r="C603" s="152"/>
      <c r="D603" s="146"/>
      <c r="E603" s="146"/>
      <c r="F603" s="153"/>
      <c r="G603" s="153"/>
      <c r="H603" s="154" t="str">
        <f t="shared" si="18"/>
        <v/>
      </c>
      <c r="I603" s="153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603" s="165"/>
      <c r="K603" s="165"/>
      <c r="L603" s="166" t="str">
        <f t="shared" si="19"/>
        <v/>
      </c>
    </row>
    <row r="604" spans="2:12" s="117" customFormat="1" ht="20.100000000000001" customHeight="1" x14ac:dyDescent="0.2">
      <c r="B604" s="147"/>
      <c r="C604" s="148"/>
      <c r="D604" s="143"/>
      <c r="E604" s="143"/>
      <c r="F604" s="149"/>
      <c r="G604" s="149"/>
      <c r="H604" s="150" t="str">
        <f t="shared" si="18"/>
        <v/>
      </c>
      <c r="I604" s="149" t="str">
        <f>IF(INDEX(F:F,ROW(),1)="","",IFERROR((INDEX(Control!$J$5:$J$9,MATCH(INDEX('Track Installation'!C:C,MATCH(INDEX(C:C,ROW(),1),'Track Installation'!D:D,FALSE),1),Control!$D$5:$D$9,FALSE),1)-INDEX(G:G,ROW(),1))/(INDEX(H:H,ROW(),1)*30*24*INDEX(Control!$F$5:$F$9,MATCH(INDEX('Track Installation'!C:C,MATCH(INDEX(C:C,ROW(),1),'Track Installation'!D:D,FALSE),1),Control!$D$5:$D$9,FALSE),1)),""))</f>
        <v/>
      </c>
      <c r="J604" s="167"/>
      <c r="K604" s="167"/>
      <c r="L604" s="168" t="str">
        <f t="shared" si="19"/>
        <v/>
      </c>
    </row>
    <row r="605" spans="2:12" s="117" customFormat="1" ht="20.100000000000001" customHeight="1" x14ac:dyDescent="0.2">
      <c r="B605" s="3"/>
      <c r="C605" s="3"/>
      <c r="D605" s="135"/>
      <c r="E605" s="135"/>
      <c r="F605" s="135"/>
      <c r="G605" s="135"/>
      <c r="H605" s="136"/>
      <c r="I605" s="135"/>
    </row>
    <row r="606" spans="2:12" s="117" customFormat="1" ht="20.100000000000001" customHeight="1" x14ac:dyDescent="0.2">
      <c r="B606" s="3"/>
      <c r="C606" s="3"/>
      <c r="D606" s="135"/>
      <c r="E606" s="135"/>
      <c r="F606" s="135"/>
      <c r="G606" s="135"/>
      <c r="H606" s="136"/>
      <c r="I606" s="135"/>
    </row>
    <row r="607" spans="2:12" s="117" customFormat="1" ht="20.100000000000001" customHeight="1" x14ac:dyDescent="0.2">
      <c r="B607" s="3"/>
      <c r="C607" s="3"/>
      <c r="D607" s="135"/>
      <c r="E607" s="135"/>
      <c r="F607" s="135"/>
      <c r="G607" s="135"/>
      <c r="H607" s="136"/>
      <c r="I607" s="135"/>
    </row>
    <row r="608" spans="2:12" s="117" customFormat="1" ht="20.100000000000001" customHeight="1" x14ac:dyDescent="0.2">
      <c r="B608" s="3"/>
      <c r="C608" s="3"/>
      <c r="D608" s="135"/>
      <c r="E608" s="135"/>
      <c r="F608" s="135"/>
      <c r="G608" s="135"/>
      <c r="H608" s="136"/>
      <c r="I608" s="135"/>
    </row>
    <row r="609" spans="2:9" s="117" customFormat="1" ht="20.100000000000001" customHeight="1" x14ac:dyDescent="0.2">
      <c r="B609" s="3"/>
      <c r="C609" s="3"/>
      <c r="D609" s="135"/>
      <c r="E609" s="135"/>
      <c r="F609" s="135"/>
      <c r="G609" s="135"/>
      <c r="H609" s="136"/>
      <c r="I609" s="135"/>
    </row>
    <row r="610" spans="2:9" s="117" customFormat="1" ht="20.100000000000001" customHeight="1" x14ac:dyDescent="0.2">
      <c r="B610" s="3"/>
      <c r="C610" s="3"/>
      <c r="D610" s="135"/>
      <c r="E610" s="135"/>
      <c r="F610" s="135"/>
      <c r="G610" s="135"/>
      <c r="H610" s="136"/>
      <c r="I610" s="135"/>
    </row>
    <row r="611" spans="2:9" s="117" customFormat="1" ht="20.100000000000001" customHeight="1" x14ac:dyDescent="0.2">
      <c r="B611" s="3"/>
      <c r="C611" s="3"/>
      <c r="D611" s="135"/>
      <c r="E611" s="135"/>
      <c r="F611" s="135"/>
      <c r="G611" s="135"/>
      <c r="H611" s="136"/>
      <c r="I611" s="135"/>
    </row>
    <row r="612" spans="2:9" s="117" customFormat="1" ht="20.100000000000001" customHeight="1" x14ac:dyDescent="0.2">
      <c r="B612" s="3"/>
      <c r="C612" s="3"/>
      <c r="D612" s="135"/>
      <c r="E612" s="135"/>
      <c r="F612" s="135"/>
      <c r="G612" s="135"/>
      <c r="H612" s="136"/>
      <c r="I612" s="135"/>
    </row>
    <row r="613" spans="2:9" s="117" customFormat="1" ht="20.100000000000001" customHeight="1" x14ac:dyDescent="0.2">
      <c r="B613" s="3"/>
      <c r="C613" s="3"/>
      <c r="D613" s="135"/>
      <c r="E613" s="135"/>
      <c r="F613" s="135"/>
      <c r="G613" s="135"/>
      <c r="H613" s="136"/>
      <c r="I613" s="135"/>
    </row>
    <row r="614" spans="2:9" s="117" customFormat="1" ht="20.100000000000001" customHeight="1" x14ac:dyDescent="0.2">
      <c r="B614" s="3"/>
      <c r="C614" s="3"/>
      <c r="D614" s="135"/>
      <c r="E614" s="135"/>
      <c r="F614" s="135"/>
      <c r="G614" s="135"/>
      <c r="H614" s="136"/>
      <c r="I614" s="135"/>
    </row>
    <row r="615" spans="2:9" s="117" customFormat="1" ht="20.100000000000001" customHeight="1" x14ac:dyDescent="0.2">
      <c r="B615" s="3"/>
      <c r="C615" s="3"/>
      <c r="D615" s="135"/>
      <c r="E615" s="135"/>
      <c r="F615" s="135"/>
      <c r="G615" s="135"/>
      <c r="H615" s="136"/>
      <c r="I615" s="135"/>
    </row>
    <row r="616" spans="2:9" s="117" customFormat="1" ht="20.100000000000001" customHeight="1" x14ac:dyDescent="0.2">
      <c r="B616" s="3"/>
      <c r="C616" s="3"/>
      <c r="D616" s="135"/>
      <c r="E616" s="135"/>
      <c r="F616" s="135"/>
      <c r="G616" s="135"/>
      <c r="H616" s="136"/>
      <c r="I616" s="135"/>
    </row>
    <row r="617" spans="2:9" s="117" customFormat="1" ht="20.100000000000001" customHeight="1" x14ac:dyDescent="0.2">
      <c r="B617" s="3"/>
      <c r="C617" s="3"/>
      <c r="D617" s="135"/>
      <c r="E617" s="135"/>
      <c r="F617" s="135"/>
      <c r="G617" s="135"/>
      <c r="H617" s="136"/>
      <c r="I617" s="135"/>
    </row>
    <row r="618" spans="2:9" s="117" customFormat="1" ht="20.100000000000001" customHeight="1" x14ac:dyDescent="0.2">
      <c r="B618" s="3"/>
      <c r="C618" s="3"/>
      <c r="D618" s="135"/>
      <c r="E618" s="135"/>
      <c r="F618" s="135"/>
      <c r="G618" s="135"/>
      <c r="H618" s="136"/>
      <c r="I618" s="135"/>
    </row>
    <row r="619" spans="2:9" s="117" customFormat="1" ht="20.100000000000001" customHeight="1" x14ac:dyDescent="0.2">
      <c r="B619" s="3"/>
      <c r="C619" s="3"/>
      <c r="D619" s="135"/>
      <c r="E619" s="135"/>
      <c r="F619" s="135"/>
      <c r="G619" s="135"/>
      <c r="H619" s="136"/>
      <c r="I619" s="135"/>
    </row>
    <row r="620" spans="2:9" s="117" customFormat="1" ht="20.100000000000001" customHeight="1" x14ac:dyDescent="0.2">
      <c r="B620" s="3"/>
      <c r="C620" s="3"/>
      <c r="D620" s="135"/>
      <c r="E620" s="135"/>
      <c r="F620" s="135"/>
      <c r="G620" s="135"/>
      <c r="H620" s="136"/>
      <c r="I620" s="135"/>
    </row>
    <row r="621" spans="2:9" s="117" customFormat="1" ht="20.100000000000001" customHeight="1" x14ac:dyDescent="0.2">
      <c r="B621" s="3"/>
      <c r="C621" s="3"/>
      <c r="D621" s="135"/>
      <c r="E621" s="135"/>
      <c r="F621" s="135"/>
      <c r="G621" s="135"/>
      <c r="H621" s="136"/>
      <c r="I621" s="135"/>
    </row>
    <row r="622" spans="2:9" s="117" customFormat="1" ht="20.100000000000001" customHeight="1" x14ac:dyDescent="0.2">
      <c r="B622" s="3"/>
      <c r="C622" s="3"/>
      <c r="D622" s="135"/>
      <c r="E622" s="135"/>
      <c r="F622" s="135"/>
      <c r="G622" s="135"/>
      <c r="H622" s="136"/>
      <c r="I622" s="135"/>
    </row>
    <row r="623" spans="2:9" s="117" customFormat="1" ht="20.100000000000001" customHeight="1" x14ac:dyDescent="0.2">
      <c r="B623" s="3"/>
      <c r="C623" s="3"/>
      <c r="D623" s="135"/>
      <c r="E623" s="135"/>
      <c r="F623" s="135"/>
      <c r="G623" s="135"/>
      <c r="H623" s="136"/>
      <c r="I623" s="135"/>
    </row>
    <row r="624" spans="2:9" s="117" customFormat="1" ht="20.100000000000001" customHeight="1" x14ac:dyDescent="0.2">
      <c r="B624" s="3"/>
      <c r="C624" s="3"/>
      <c r="D624" s="135"/>
      <c r="E624" s="135"/>
      <c r="F624" s="135"/>
      <c r="G624" s="135"/>
      <c r="H624" s="136"/>
      <c r="I624" s="135"/>
    </row>
    <row r="625" spans="2:9" s="117" customFormat="1" ht="20.100000000000001" customHeight="1" x14ac:dyDescent="0.2">
      <c r="B625" s="3"/>
      <c r="C625" s="3"/>
      <c r="D625" s="135"/>
      <c r="E625" s="135"/>
      <c r="F625" s="135"/>
      <c r="G625" s="135"/>
      <c r="H625" s="136"/>
      <c r="I625" s="135"/>
    </row>
    <row r="626" spans="2:9" s="117" customFormat="1" ht="20.100000000000001" customHeight="1" x14ac:dyDescent="0.2">
      <c r="B626" s="3"/>
      <c r="C626" s="3"/>
      <c r="D626" s="135"/>
      <c r="E626" s="135"/>
      <c r="F626" s="135"/>
      <c r="G626" s="135"/>
      <c r="H626" s="136"/>
      <c r="I626" s="135"/>
    </row>
    <row r="627" spans="2:9" s="117" customFormat="1" ht="20.100000000000001" customHeight="1" x14ac:dyDescent="0.2">
      <c r="B627" s="3"/>
      <c r="C627" s="3"/>
      <c r="D627" s="135"/>
      <c r="E627" s="135"/>
      <c r="F627" s="135"/>
      <c r="G627" s="135"/>
      <c r="H627" s="136"/>
      <c r="I627" s="135"/>
    </row>
    <row r="628" spans="2:9" s="117" customFormat="1" ht="20.100000000000001" customHeight="1" x14ac:dyDescent="0.2">
      <c r="B628" s="3"/>
      <c r="C628" s="3"/>
      <c r="D628" s="135"/>
      <c r="E628" s="135"/>
      <c r="F628" s="135"/>
      <c r="G628" s="135"/>
      <c r="H628" s="136"/>
      <c r="I628" s="135"/>
    </row>
    <row r="629" spans="2:9" s="117" customFormat="1" ht="20.100000000000001" customHeight="1" x14ac:dyDescent="0.2">
      <c r="B629" s="3"/>
      <c r="C629" s="3"/>
      <c r="D629" s="135"/>
      <c r="E629" s="135"/>
      <c r="F629" s="135"/>
      <c r="G629" s="135"/>
      <c r="H629" s="136"/>
      <c r="I629" s="135"/>
    </row>
    <row r="630" spans="2:9" s="117" customFormat="1" ht="20.100000000000001" customHeight="1" x14ac:dyDescent="0.2">
      <c r="B630" s="3"/>
      <c r="C630" s="3"/>
      <c r="D630" s="135"/>
      <c r="E630" s="135"/>
      <c r="F630" s="135"/>
      <c r="G630" s="135"/>
      <c r="H630" s="136"/>
      <c r="I630" s="135"/>
    </row>
    <row r="631" spans="2:9" s="117" customFormat="1" ht="20.100000000000001" customHeight="1" x14ac:dyDescent="0.2">
      <c r="B631" s="3"/>
      <c r="C631" s="3"/>
      <c r="D631" s="135"/>
      <c r="E631" s="135"/>
      <c r="F631" s="135"/>
      <c r="G631" s="135"/>
      <c r="H631" s="136"/>
      <c r="I631" s="135"/>
    </row>
    <row r="632" spans="2:9" s="117" customFormat="1" ht="20.100000000000001" customHeight="1" x14ac:dyDescent="0.2">
      <c r="B632" s="3"/>
      <c r="C632" s="3"/>
      <c r="D632" s="135"/>
      <c r="E632" s="135"/>
      <c r="F632" s="135"/>
      <c r="G632" s="135"/>
      <c r="H632" s="136"/>
      <c r="I632" s="135"/>
    </row>
    <row r="633" spans="2:9" s="117" customFormat="1" ht="20.100000000000001" customHeight="1" x14ac:dyDescent="0.2">
      <c r="B633" s="3"/>
      <c r="C633" s="3"/>
      <c r="D633" s="135"/>
      <c r="E633" s="135"/>
      <c r="F633" s="135"/>
      <c r="G633" s="135"/>
      <c r="H633" s="136"/>
      <c r="I633" s="135"/>
    </row>
    <row r="634" spans="2:9" s="117" customFormat="1" ht="20.100000000000001" customHeight="1" x14ac:dyDescent="0.2">
      <c r="B634" s="3"/>
      <c r="C634" s="3"/>
      <c r="D634" s="135"/>
      <c r="E634" s="135"/>
      <c r="F634" s="135"/>
      <c r="G634" s="135"/>
      <c r="H634" s="136"/>
      <c r="I634" s="135"/>
    </row>
    <row r="635" spans="2:9" s="117" customFormat="1" ht="20.100000000000001" customHeight="1" x14ac:dyDescent="0.2">
      <c r="B635" s="3"/>
      <c r="C635" s="3"/>
      <c r="D635" s="135"/>
      <c r="E635" s="135"/>
      <c r="F635" s="135"/>
      <c r="G635" s="135"/>
      <c r="H635" s="136"/>
      <c r="I635" s="135"/>
    </row>
    <row r="636" spans="2:9" s="117" customFormat="1" ht="20.100000000000001" customHeight="1" x14ac:dyDescent="0.2">
      <c r="B636" s="3"/>
      <c r="C636" s="3"/>
      <c r="D636" s="135"/>
      <c r="E636" s="135"/>
      <c r="F636" s="135"/>
      <c r="G636" s="135"/>
      <c r="H636" s="136"/>
      <c r="I636" s="135"/>
    </row>
    <row r="637" spans="2:9" s="117" customFormat="1" ht="20.100000000000001" customHeight="1" x14ac:dyDescent="0.2">
      <c r="B637" s="3"/>
      <c r="C637" s="3"/>
      <c r="D637" s="135"/>
      <c r="E637" s="135"/>
      <c r="F637" s="135"/>
      <c r="G637" s="135"/>
      <c r="H637" s="136"/>
      <c r="I637" s="135"/>
    </row>
    <row r="638" spans="2:9" s="117" customFormat="1" ht="20.100000000000001" customHeight="1" x14ac:dyDescent="0.2">
      <c r="B638" s="3"/>
      <c r="C638" s="3"/>
      <c r="D638" s="135"/>
      <c r="E638" s="135"/>
      <c r="F638" s="135"/>
      <c r="G638" s="135"/>
      <c r="H638" s="136"/>
      <c r="I638" s="135"/>
    </row>
    <row r="639" spans="2:9" s="117" customFormat="1" ht="20.100000000000001" customHeight="1" x14ac:dyDescent="0.2">
      <c r="B639" s="3"/>
      <c r="C639" s="3"/>
      <c r="D639" s="135"/>
      <c r="E639" s="135"/>
      <c r="F639" s="135"/>
      <c r="G639" s="135"/>
      <c r="H639" s="136"/>
      <c r="I639" s="135"/>
    </row>
    <row r="640" spans="2:9" s="117" customFormat="1" ht="20.100000000000001" customHeight="1" x14ac:dyDescent="0.2">
      <c r="B640" s="3"/>
      <c r="C640" s="3"/>
      <c r="D640" s="135"/>
      <c r="E640" s="135"/>
      <c r="F640" s="135"/>
      <c r="G640" s="135"/>
      <c r="H640" s="136"/>
      <c r="I640" s="135"/>
    </row>
    <row r="641" spans="2:9" s="117" customFormat="1" ht="20.100000000000001" customHeight="1" x14ac:dyDescent="0.2">
      <c r="B641" s="3"/>
      <c r="C641" s="3"/>
      <c r="D641" s="135"/>
      <c r="E641" s="135"/>
      <c r="F641" s="135"/>
      <c r="G641" s="135"/>
      <c r="H641" s="136"/>
      <c r="I641" s="135"/>
    </row>
    <row r="642" spans="2:9" s="117" customFormat="1" ht="20.100000000000001" customHeight="1" x14ac:dyDescent="0.2">
      <c r="B642" s="3"/>
      <c r="C642" s="3"/>
      <c r="D642" s="135"/>
      <c r="E642" s="135"/>
      <c r="F642" s="135"/>
      <c r="G642" s="135"/>
      <c r="H642" s="136"/>
      <c r="I642" s="135"/>
    </row>
    <row r="643" spans="2:9" s="117" customFormat="1" ht="20.100000000000001" customHeight="1" x14ac:dyDescent="0.2">
      <c r="B643" s="3"/>
      <c r="C643" s="3"/>
      <c r="D643" s="135"/>
      <c r="E643" s="135"/>
      <c r="F643" s="135"/>
      <c r="G643" s="135"/>
      <c r="H643" s="136"/>
      <c r="I643" s="135"/>
    </row>
    <row r="644" spans="2:9" s="117" customFormat="1" ht="20.100000000000001" customHeight="1" x14ac:dyDescent="0.2">
      <c r="B644" s="3"/>
      <c r="C644" s="3"/>
      <c r="D644" s="135"/>
      <c r="E644" s="135"/>
      <c r="F644" s="135"/>
      <c r="G644" s="135"/>
      <c r="H644" s="136"/>
      <c r="I644" s="135"/>
    </row>
    <row r="645" spans="2:9" s="117" customFormat="1" ht="20.100000000000001" customHeight="1" x14ac:dyDescent="0.2">
      <c r="B645" s="3"/>
      <c r="C645" s="3"/>
      <c r="D645" s="135"/>
      <c r="E645" s="135"/>
      <c r="F645" s="135"/>
      <c r="G645" s="135"/>
      <c r="H645" s="136"/>
      <c r="I645" s="135"/>
    </row>
    <row r="646" spans="2:9" s="117" customFormat="1" ht="20.100000000000001" customHeight="1" x14ac:dyDescent="0.2">
      <c r="B646" s="3"/>
      <c r="C646" s="3"/>
      <c r="D646" s="135"/>
      <c r="E646" s="135"/>
      <c r="F646" s="135"/>
      <c r="G646" s="135"/>
      <c r="H646" s="136"/>
      <c r="I646" s="135"/>
    </row>
    <row r="647" spans="2:9" s="117" customFormat="1" ht="20.100000000000001" customHeight="1" x14ac:dyDescent="0.2">
      <c r="B647" s="3"/>
      <c r="C647" s="3"/>
      <c r="D647" s="135"/>
      <c r="E647" s="135"/>
      <c r="F647" s="135"/>
      <c r="G647" s="135"/>
      <c r="H647" s="136"/>
      <c r="I647" s="135"/>
    </row>
    <row r="648" spans="2:9" s="117" customFormat="1" ht="20.100000000000001" customHeight="1" x14ac:dyDescent="0.2">
      <c r="B648" s="3"/>
      <c r="C648" s="3"/>
      <c r="D648" s="135"/>
      <c r="E648" s="135"/>
      <c r="F648" s="135"/>
      <c r="G648" s="135"/>
      <c r="H648" s="136"/>
      <c r="I648" s="135"/>
    </row>
    <row r="649" spans="2:9" s="117" customFormat="1" ht="20.100000000000001" customHeight="1" x14ac:dyDescent="0.2">
      <c r="B649" s="3"/>
      <c r="C649" s="3"/>
      <c r="D649" s="135"/>
      <c r="E649" s="135"/>
      <c r="F649" s="135"/>
      <c r="G649" s="135"/>
      <c r="H649" s="136"/>
      <c r="I649" s="135"/>
    </row>
    <row r="650" spans="2:9" s="117" customFormat="1" ht="20.100000000000001" customHeight="1" x14ac:dyDescent="0.2">
      <c r="B650" s="3"/>
      <c r="C650" s="3"/>
      <c r="D650" s="135"/>
      <c r="E650" s="135"/>
      <c r="F650" s="135"/>
      <c r="G650" s="135"/>
      <c r="H650" s="136"/>
      <c r="I650" s="135"/>
    </row>
    <row r="651" spans="2:9" s="117" customFormat="1" ht="20.100000000000001" customHeight="1" x14ac:dyDescent="0.2">
      <c r="B651" s="3"/>
      <c r="C651" s="3"/>
      <c r="D651" s="135"/>
      <c r="E651" s="135"/>
      <c r="F651" s="135"/>
      <c r="G651" s="135"/>
      <c r="H651" s="136"/>
      <c r="I651" s="135"/>
    </row>
    <row r="652" spans="2:9" s="117" customFormat="1" ht="20.100000000000001" customHeight="1" x14ac:dyDescent="0.2">
      <c r="B652" s="3"/>
      <c r="C652" s="3"/>
      <c r="D652" s="135"/>
      <c r="E652" s="135"/>
      <c r="F652" s="135"/>
      <c r="G652" s="135"/>
      <c r="H652" s="136"/>
      <c r="I652" s="135"/>
    </row>
    <row r="653" spans="2:9" s="117" customFormat="1" ht="20.100000000000001" customHeight="1" x14ac:dyDescent="0.2">
      <c r="B653" s="3"/>
      <c r="C653" s="3"/>
      <c r="D653" s="135"/>
      <c r="E653" s="135"/>
      <c r="F653" s="135"/>
      <c r="G653" s="135"/>
      <c r="H653" s="136"/>
      <c r="I653" s="135"/>
    </row>
    <row r="654" spans="2:9" s="117" customFormat="1" ht="20.100000000000001" customHeight="1" x14ac:dyDescent="0.2">
      <c r="B654" s="3"/>
      <c r="C654" s="3"/>
      <c r="D654" s="135"/>
      <c r="E654" s="135"/>
      <c r="F654" s="135"/>
      <c r="G654" s="135"/>
      <c r="H654" s="136"/>
      <c r="I654" s="135"/>
    </row>
    <row r="655" spans="2:9" s="117" customFormat="1" ht="20.100000000000001" customHeight="1" x14ac:dyDescent="0.2">
      <c r="B655" s="3"/>
      <c r="C655" s="3"/>
      <c r="D655" s="135"/>
      <c r="E655" s="135"/>
      <c r="F655" s="135"/>
      <c r="G655" s="135"/>
      <c r="H655" s="136"/>
      <c r="I655" s="135"/>
    </row>
    <row r="656" spans="2:9" s="117" customFormat="1" ht="20.100000000000001" customHeight="1" x14ac:dyDescent="0.2">
      <c r="B656" s="3"/>
      <c r="C656" s="3"/>
      <c r="D656" s="135"/>
      <c r="E656" s="135"/>
      <c r="F656" s="135"/>
      <c r="G656" s="135"/>
      <c r="H656" s="136"/>
      <c r="I656" s="135"/>
    </row>
    <row r="657" spans="2:9" s="117" customFormat="1" ht="20.100000000000001" customHeight="1" x14ac:dyDescent="0.2">
      <c r="B657" s="3"/>
      <c r="C657" s="3"/>
      <c r="D657" s="135"/>
      <c r="E657" s="135"/>
      <c r="F657" s="135"/>
      <c r="G657" s="135"/>
      <c r="H657" s="136"/>
      <c r="I657" s="135"/>
    </row>
    <row r="658" spans="2:9" s="117" customFormat="1" ht="20.100000000000001" customHeight="1" x14ac:dyDescent="0.2">
      <c r="B658" s="3"/>
      <c r="C658" s="3"/>
      <c r="D658" s="135"/>
      <c r="E658" s="135"/>
      <c r="F658" s="135"/>
      <c r="G658" s="135"/>
      <c r="H658" s="136"/>
      <c r="I658" s="135"/>
    </row>
    <row r="659" spans="2:9" s="117" customFormat="1" ht="20.100000000000001" customHeight="1" x14ac:dyDescent="0.2">
      <c r="B659" s="3"/>
      <c r="C659" s="3"/>
      <c r="D659" s="135"/>
      <c r="E659" s="135"/>
      <c r="F659" s="135"/>
      <c r="G659" s="135"/>
      <c r="H659" s="136"/>
      <c r="I659" s="135"/>
    </row>
    <row r="660" spans="2:9" s="117" customFormat="1" ht="20.100000000000001" customHeight="1" x14ac:dyDescent="0.2">
      <c r="B660" s="3"/>
      <c r="C660" s="3"/>
      <c r="D660" s="135"/>
      <c r="E660" s="135"/>
      <c r="F660" s="135"/>
      <c r="G660" s="135"/>
      <c r="H660" s="136"/>
      <c r="I660" s="135"/>
    </row>
    <row r="661" spans="2:9" s="117" customFormat="1" ht="20.100000000000001" customHeight="1" x14ac:dyDescent="0.2">
      <c r="B661" s="3"/>
      <c r="C661" s="3"/>
      <c r="D661" s="135"/>
      <c r="E661" s="135"/>
      <c r="F661" s="135"/>
      <c r="G661" s="135"/>
      <c r="H661" s="136"/>
      <c r="I661" s="135"/>
    </row>
    <row r="662" spans="2:9" s="117" customFormat="1" ht="20.100000000000001" customHeight="1" x14ac:dyDescent="0.2">
      <c r="B662" s="3"/>
      <c r="C662" s="3"/>
      <c r="D662" s="135"/>
      <c r="E662" s="135"/>
      <c r="F662" s="135"/>
      <c r="G662" s="135"/>
      <c r="H662" s="136"/>
      <c r="I662" s="135"/>
    </row>
    <row r="663" spans="2:9" s="117" customFormat="1" ht="20.100000000000001" customHeight="1" x14ac:dyDescent="0.2">
      <c r="B663" s="3"/>
      <c r="C663" s="3"/>
      <c r="D663" s="135"/>
      <c r="E663" s="135"/>
      <c r="F663" s="135"/>
      <c r="G663" s="135"/>
      <c r="H663" s="136"/>
      <c r="I663" s="135"/>
    </row>
    <row r="664" spans="2:9" s="117" customFormat="1" ht="20.100000000000001" customHeight="1" x14ac:dyDescent="0.2">
      <c r="B664" s="3"/>
      <c r="C664" s="3"/>
      <c r="D664" s="135"/>
      <c r="E664" s="135"/>
      <c r="F664" s="135"/>
      <c r="G664" s="135"/>
      <c r="H664" s="136"/>
      <c r="I664" s="135"/>
    </row>
    <row r="665" spans="2:9" s="117" customFormat="1" ht="20.100000000000001" customHeight="1" x14ac:dyDescent="0.2">
      <c r="B665" s="3"/>
      <c r="C665" s="3"/>
      <c r="D665" s="135"/>
      <c r="E665" s="135"/>
      <c r="F665" s="135"/>
      <c r="G665" s="135"/>
      <c r="H665" s="136"/>
      <c r="I665" s="135"/>
    </row>
    <row r="666" spans="2:9" s="117" customFormat="1" ht="20.100000000000001" customHeight="1" x14ac:dyDescent="0.2">
      <c r="B666" s="3"/>
      <c r="C666" s="3"/>
      <c r="D666" s="135"/>
      <c r="E666" s="135"/>
      <c r="F666" s="135"/>
      <c r="G666" s="135"/>
      <c r="H666" s="136"/>
      <c r="I666" s="135"/>
    </row>
    <row r="667" spans="2:9" s="117" customFormat="1" ht="20.100000000000001" customHeight="1" x14ac:dyDescent="0.2">
      <c r="B667" s="3"/>
      <c r="C667" s="3"/>
      <c r="D667" s="135"/>
      <c r="E667" s="135"/>
      <c r="F667" s="135"/>
      <c r="G667" s="135"/>
      <c r="H667" s="136"/>
      <c r="I667" s="135"/>
    </row>
    <row r="668" spans="2:9" s="117" customFormat="1" ht="20.100000000000001" customHeight="1" x14ac:dyDescent="0.2">
      <c r="B668" s="3"/>
      <c r="C668" s="3"/>
      <c r="D668" s="135"/>
      <c r="E668" s="135"/>
      <c r="F668" s="135"/>
      <c r="G668" s="135"/>
      <c r="H668" s="136"/>
      <c r="I668" s="135"/>
    </row>
    <row r="669" spans="2:9" s="117" customFormat="1" ht="20.100000000000001" customHeight="1" x14ac:dyDescent="0.2">
      <c r="B669" s="3"/>
      <c r="C669" s="3"/>
      <c r="D669" s="135"/>
      <c r="E669" s="135"/>
      <c r="F669" s="135"/>
      <c r="G669" s="135"/>
      <c r="H669" s="136"/>
      <c r="I669" s="135"/>
    </row>
    <row r="670" spans="2:9" s="117" customFormat="1" ht="20.100000000000001" customHeight="1" x14ac:dyDescent="0.2">
      <c r="B670" s="3"/>
      <c r="C670" s="3"/>
      <c r="D670" s="135"/>
      <c r="E670" s="135"/>
      <c r="F670" s="135"/>
      <c r="G670" s="135"/>
      <c r="H670" s="136"/>
      <c r="I670" s="135"/>
    </row>
    <row r="671" spans="2:9" s="117" customFormat="1" ht="20.100000000000001" customHeight="1" x14ac:dyDescent="0.2">
      <c r="B671" s="3"/>
      <c r="C671" s="3"/>
      <c r="D671" s="135"/>
      <c r="E671" s="135"/>
      <c r="F671" s="135"/>
      <c r="G671" s="135"/>
      <c r="H671" s="136"/>
      <c r="I671" s="135"/>
    </row>
    <row r="672" spans="2:9" s="117" customFormat="1" ht="20.100000000000001" customHeight="1" x14ac:dyDescent="0.2">
      <c r="B672" s="3"/>
      <c r="C672" s="3"/>
      <c r="D672" s="135"/>
      <c r="E672" s="135"/>
      <c r="F672" s="135"/>
      <c r="G672" s="135"/>
      <c r="H672" s="136"/>
      <c r="I672" s="135"/>
    </row>
    <row r="673" spans="2:9" s="117" customFormat="1" ht="20.100000000000001" customHeight="1" x14ac:dyDescent="0.2">
      <c r="B673" s="3"/>
      <c r="C673" s="3"/>
      <c r="D673" s="135"/>
      <c r="E673" s="135"/>
      <c r="F673" s="135"/>
      <c r="G673" s="135"/>
      <c r="H673" s="136"/>
      <c r="I673" s="135"/>
    </row>
    <row r="674" spans="2:9" s="117" customFormat="1" ht="20.100000000000001" customHeight="1" x14ac:dyDescent="0.2">
      <c r="B674" s="3"/>
      <c r="C674" s="3"/>
      <c r="D674" s="135"/>
      <c r="E674" s="135"/>
      <c r="F674" s="135"/>
      <c r="G674" s="135"/>
      <c r="H674" s="136"/>
      <c r="I674" s="135"/>
    </row>
    <row r="675" spans="2:9" s="117" customFormat="1" ht="20.100000000000001" customHeight="1" x14ac:dyDescent="0.2">
      <c r="B675" s="3"/>
      <c r="C675" s="3"/>
      <c r="D675" s="135"/>
      <c r="E675" s="135"/>
      <c r="F675" s="135"/>
      <c r="G675" s="135"/>
      <c r="H675" s="136"/>
      <c r="I675" s="135"/>
    </row>
    <row r="676" spans="2:9" s="117" customFormat="1" ht="20.100000000000001" customHeight="1" x14ac:dyDescent="0.2">
      <c r="B676" s="3"/>
      <c r="C676" s="3"/>
      <c r="D676" s="135"/>
      <c r="E676" s="135"/>
      <c r="F676" s="135"/>
      <c r="G676" s="135"/>
      <c r="H676" s="136"/>
      <c r="I676" s="135"/>
    </row>
    <row r="677" spans="2:9" s="117" customFormat="1" ht="20.100000000000001" customHeight="1" x14ac:dyDescent="0.2">
      <c r="B677" s="3"/>
      <c r="C677" s="3"/>
      <c r="D677" s="135"/>
      <c r="E677" s="135"/>
      <c r="F677" s="135"/>
      <c r="G677" s="135"/>
      <c r="H677" s="136"/>
      <c r="I677" s="135"/>
    </row>
    <row r="678" spans="2:9" s="117" customFormat="1" ht="20.100000000000001" customHeight="1" x14ac:dyDescent="0.2">
      <c r="B678" s="3"/>
      <c r="C678" s="3"/>
      <c r="D678" s="135"/>
      <c r="E678" s="135"/>
      <c r="F678" s="135"/>
      <c r="G678" s="135"/>
      <c r="H678" s="136"/>
      <c r="I678" s="135"/>
    </row>
    <row r="679" spans="2:9" s="117" customFormat="1" ht="20.100000000000001" customHeight="1" x14ac:dyDescent="0.2">
      <c r="B679" s="3"/>
      <c r="C679" s="3"/>
      <c r="D679" s="135"/>
      <c r="E679" s="135"/>
      <c r="F679" s="135"/>
      <c r="G679" s="135"/>
      <c r="H679" s="136"/>
      <c r="I679" s="135"/>
    </row>
    <row r="680" spans="2:9" s="117" customFormat="1" ht="20.100000000000001" customHeight="1" x14ac:dyDescent="0.2">
      <c r="B680" s="3"/>
      <c r="C680" s="3"/>
      <c r="D680" s="135"/>
      <c r="E680" s="135"/>
      <c r="F680" s="135"/>
      <c r="G680" s="135"/>
      <c r="H680" s="136"/>
      <c r="I680" s="135"/>
    </row>
    <row r="681" spans="2:9" s="117" customFormat="1" ht="20.100000000000001" customHeight="1" x14ac:dyDescent="0.2">
      <c r="B681" s="3"/>
      <c r="C681" s="3"/>
      <c r="D681" s="135"/>
      <c r="E681" s="135"/>
      <c r="F681" s="135"/>
      <c r="G681" s="135"/>
      <c r="H681" s="136"/>
      <c r="I681" s="135"/>
    </row>
    <row r="682" spans="2:9" s="117" customFormat="1" ht="20.100000000000001" customHeight="1" x14ac:dyDescent="0.2">
      <c r="B682" s="3"/>
      <c r="C682" s="3"/>
      <c r="D682" s="135"/>
      <c r="E682" s="135"/>
      <c r="F682" s="135"/>
      <c r="G682" s="135"/>
      <c r="H682" s="136"/>
      <c r="I682" s="135"/>
    </row>
    <row r="683" spans="2:9" s="117" customFormat="1" ht="20.100000000000001" customHeight="1" x14ac:dyDescent="0.2">
      <c r="B683" s="3"/>
      <c r="C683" s="3"/>
      <c r="D683" s="135"/>
      <c r="E683" s="135"/>
      <c r="F683" s="135"/>
      <c r="G683" s="135"/>
      <c r="H683" s="136"/>
      <c r="I683" s="135"/>
    </row>
    <row r="684" spans="2:9" s="117" customFormat="1" ht="20.100000000000001" customHeight="1" x14ac:dyDescent="0.2">
      <c r="B684" s="3"/>
      <c r="C684" s="3"/>
      <c r="D684" s="135"/>
      <c r="E684" s="135"/>
      <c r="F684" s="135"/>
      <c r="G684" s="135"/>
      <c r="H684" s="136"/>
      <c r="I684" s="135"/>
    </row>
    <row r="685" spans="2:9" s="117" customFormat="1" ht="20.100000000000001" customHeight="1" x14ac:dyDescent="0.2">
      <c r="B685" s="3"/>
      <c r="C685" s="3"/>
      <c r="D685" s="135"/>
      <c r="E685" s="135"/>
      <c r="F685" s="135"/>
      <c r="G685" s="135"/>
      <c r="H685" s="136"/>
      <c r="I685" s="135"/>
    </row>
    <row r="686" spans="2:9" s="117" customFormat="1" ht="20.100000000000001" customHeight="1" x14ac:dyDescent="0.2">
      <c r="B686" s="3"/>
      <c r="C686" s="3"/>
      <c r="D686" s="135"/>
      <c r="E686" s="135"/>
      <c r="F686" s="135"/>
      <c r="G686" s="135"/>
      <c r="H686" s="136"/>
      <c r="I686" s="135"/>
    </row>
    <row r="687" spans="2:9" s="117" customFormat="1" ht="20.100000000000001" customHeight="1" x14ac:dyDescent="0.2">
      <c r="B687" s="3"/>
      <c r="C687" s="3"/>
      <c r="D687" s="135"/>
      <c r="E687" s="135"/>
      <c r="F687" s="135"/>
      <c r="G687" s="135"/>
      <c r="H687" s="136"/>
      <c r="I687" s="135"/>
    </row>
    <row r="688" spans="2:9" s="117" customFormat="1" ht="20.100000000000001" customHeight="1" x14ac:dyDescent="0.2">
      <c r="B688" s="3"/>
      <c r="C688" s="3"/>
      <c r="D688" s="135"/>
      <c r="E688" s="135"/>
      <c r="F688" s="135"/>
      <c r="G688" s="135"/>
      <c r="H688" s="136"/>
      <c r="I688" s="135"/>
    </row>
    <row r="689" spans="2:9" s="117" customFormat="1" ht="20.100000000000001" customHeight="1" x14ac:dyDescent="0.2">
      <c r="B689" s="3"/>
      <c r="C689" s="3"/>
      <c r="D689" s="135"/>
      <c r="E689" s="135"/>
      <c r="F689" s="135"/>
      <c r="G689" s="135"/>
      <c r="H689" s="136"/>
      <c r="I689" s="135"/>
    </row>
    <row r="690" spans="2:9" s="117" customFormat="1" ht="20.100000000000001" customHeight="1" x14ac:dyDescent="0.2">
      <c r="B690" s="3"/>
      <c r="C690" s="3"/>
      <c r="D690" s="135"/>
      <c r="E690" s="135"/>
      <c r="F690" s="135"/>
      <c r="G690" s="135"/>
      <c r="H690" s="136"/>
      <c r="I690" s="135"/>
    </row>
    <row r="691" spans="2:9" s="117" customFormat="1" ht="20.100000000000001" customHeight="1" x14ac:dyDescent="0.2">
      <c r="B691" s="3"/>
      <c r="C691" s="3"/>
      <c r="D691" s="135"/>
      <c r="E691" s="135"/>
      <c r="F691" s="135"/>
      <c r="G691" s="135"/>
      <c r="H691" s="136"/>
      <c r="I691" s="135"/>
    </row>
    <row r="692" spans="2:9" s="117" customFormat="1" ht="20.100000000000001" customHeight="1" x14ac:dyDescent="0.2">
      <c r="B692" s="3"/>
      <c r="C692" s="3"/>
      <c r="D692" s="135"/>
      <c r="E692" s="135"/>
      <c r="F692" s="135"/>
      <c r="G692" s="135"/>
      <c r="H692" s="136"/>
      <c r="I692" s="135"/>
    </row>
    <row r="693" spans="2:9" s="117" customFormat="1" ht="20.100000000000001" customHeight="1" x14ac:dyDescent="0.2">
      <c r="B693" s="3"/>
      <c r="C693" s="3"/>
      <c r="D693" s="135"/>
      <c r="E693" s="135"/>
      <c r="F693" s="135"/>
      <c r="G693" s="135"/>
      <c r="H693" s="136"/>
      <c r="I693" s="135"/>
    </row>
    <row r="694" spans="2:9" s="117" customFormat="1" ht="20.100000000000001" customHeight="1" x14ac:dyDescent="0.2">
      <c r="B694" s="3"/>
      <c r="C694" s="3"/>
      <c r="D694" s="135"/>
      <c r="E694" s="135"/>
      <c r="F694" s="135"/>
      <c r="G694" s="135"/>
      <c r="H694" s="136"/>
      <c r="I694" s="135"/>
    </row>
    <row r="695" spans="2:9" s="117" customFormat="1" ht="20.100000000000001" customHeight="1" x14ac:dyDescent="0.2">
      <c r="B695" s="3"/>
      <c r="C695" s="3"/>
      <c r="D695" s="135"/>
      <c r="E695" s="135"/>
      <c r="F695" s="135"/>
      <c r="G695" s="135"/>
      <c r="H695" s="136"/>
      <c r="I695" s="135"/>
    </row>
    <row r="696" spans="2:9" s="117" customFormat="1" ht="20.100000000000001" customHeight="1" x14ac:dyDescent="0.2">
      <c r="B696" s="3"/>
      <c r="C696" s="3"/>
      <c r="D696" s="135"/>
      <c r="E696" s="135"/>
      <c r="F696" s="135"/>
      <c r="G696" s="135"/>
      <c r="H696" s="136"/>
      <c r="I696" s="135"/>
    </row>
    <row r="697" spans="2:9" s="117" customFormat="1" ht="20.100000000000001" customHeight="1" x14ac:dyDescent="0.2">
      <c r="B697" s="3"/>
      <c r="C697" s="3"/>
      <c r="D697" s="135"/>
      <c r="E697" s="135"/>
      <c r="F697" s="135"/>
      <c r="G697" s="135"/>
      <c r="H697" s="136"/>
      <c r="I697" s="135"/>
    </row>
    <row r="698" spans="2:9" s="117" customFormat="1" ht="20.100000000000001" customHeight="1" x14ac:dyDescent="0.2">
      <c r="B698" s="3"/>
      <c r="C698" s="3"/>
      <c r="D698" s="135"/>
      <c r="E698" s="135"/>
      <c r="F698" s="135"/>
      <c r="G698" s="135"/>
      <c r="H698" s="136"/>
      <c r="I698" s="135"/>
    </row>
    <row r="699" spans="2:9" s="117" customFormat="1" ht="20.100000000000001" customHeight="1" x14ac:dyDescent="0.2">
      <c r="B699" s="3"/>
      <c r="C699" s="3"/>
      <c r="D699" s="135"/>
      <c r="E699" s="135"/>
      <c r="F699" s="135"/>
      <c r="G699" s="135"/>
      <c r="H699" s="136"/>
      <c r="I699" s="135"/>
    </row>
    <row r="700" spans="2:9" s="117" customFormat="1" ht="20.100000000000001" customHeight="1" x14ac:dyDescent="0.2">
      <c r="B700" s="3"/>
      <c r="C700" s="3"/>
      <c r="D700" s="135"/>
      <c r="E700" s="135"/>
      <c r="F700" s="135"/>
      <c r="G700" s="135"/>
      <c r="H700" s="136"/>
      <c r="I700" s="135"/>
    </row>
    <row r="701" spans="2:9" s="117" customFormat="1" ht="20.100000000000001" customHeight="1" x14ac:dyDescent="0.2">
      <c r="B701" s="3"/>
      <c r="C701" s="3"/>
      <c r="D701" s="135"/>
      <c r="E701" s="135"/>
      <c r="F701" s="135"/>
      <c r="G701" s="135"/>
      <c r="H701" s="136"/>
      <c r="I701" s="135"/>
    </row>
    <row r="702" spans="2:9" s="117" customFormat="1" ht="20.100000000000001" customHeight="1" x14ac:dyDescent="0.2">
      <c r="B702" s="3"/>
      <c r="C702" s="3"/>
      <c r="D702" s="135"/>
      <c r="E702" s="135"/>
      <c r="F702" s="135"/>
      <c r="G702" s="135"/>
      <c r="H702" s="136"/>
      <c r="I702" s="135"/>
    </row>
    <row r="703" spans="2:9" s="117" customFormat="1" ht="20.100000000000001" customHeight="1" x14ac:dyDescent="0.2">
      <c r="B703" s="3"/>
      <c r="C703" s="3"/>
      <c r="D703" s="135"/>
      <c r="E703" s="135"/>
      <c r="F703" s="135"/>
      <c r="G703" s="135"/>
      <c r="H703" s="136"/>
      <c r="I703" s="135"/>
    </row>
    <row r="704" spans="2:9" s="117" customFormat="1" ht="20.100000000000001" customHeight="1" x14ac:dyDescent="0.2">
      <c r="B704" s="3"/>
      <c r="C704" s="3"/>
      <c r="D704" s="135"/>
      <c r="E704" s="135"/>
      <c r="F704" s="135"/>
      <c r="G704" s="135"/>
      <c r="H704" s="136"/>
      <c r="I704" s="135"/>
    </row>
    <row r="705" spans="2:9" s="117" customFormat="1" ht="20.100000000000001" customHeight="1" x14ac:dyDescent="0.2">
      <c r="B705" s="3"/>
      <c r="C705" s="3"/>
      <c r="D705" s="135"/>
      <c r="E705" s="135"/>
      <c r="F705" s="135"/>
      <c r="G705" s="135"/>
      <c r="H705" s="136"/>
      <c r="I705" s="135"/>
    </row>
    <row r="706" spans="2:9" s="117" customFormat="1" ht="20.100000000000001" customHeight="1" x14ac:dyDescent="0.2">
      <c r="B706" s="3"/>
      <c r="C706" s="3"/>
      <c r="D706" s="135"/>
      <c r="E706" s="135"/>
      <c r="F706" s="135"/>
      <c r="G706" s="135"/>
      <c r="H706" s="136"/>
      <c r="I706" s="135"/>
    </row>
    <row r="707" spans="2:9" s="117" customFormat="1" ht="20.100000000000001" customHeight="1" x14ac:dyDescent="0.2">
      <c r="B707" s="3"/>
      <c r="C707" s="3"/>
      <c r="D707" s="135"/>
      <c r="E707" s="135"/>
      <c r="F707" s="135"/>
      <c r="G707" s="135"/>
      <c r="H707" s="136"/>
      <c r="I707" s="135"/>
    </row>
    <row r="708" spans="2:9" s="117" customFormat="1" ht="20.100000000000001" customHeight="1" x14ac:dyDescent="0.2">
      <c r="B708" s="3"/>
      <c r="C708" s="3"/>
      <c r="D708" s="135"/>
      <c r="E708" s="135"/>
      <c r="F708" s="135"/>
      <c r="G708" s="135"/>
      <c r="H708" s="136"/>
      <c r="I708" s="135"/>
    </row>
    <row r="709" spans="2:9" s="117" customFormat="1" ht="20.100000000000001" customHeight="1" x14ac:dyDescent="0.2">
      <c r="B709" s="3"/>
      <c r="C709" s="3"/>
      <c r="D709" s="135"/>
      <c r="E709" s="135"/>
      <c r="F709" s="135"/>
      <c r="G709" s="135"/>
      <c r="H709" s="136"/>
      <c r="I709" s="135"/>
    </row>
    <row r="710" spans="2:9" s="117" customFormat="1" ht="20.100000000000001" customHeight="1" x14ac:dyDescent="0.2">
      <c r="B710" s="3"/>
      <c r="C710" s="3"/>
      <c r="D710" s="135"/>
      <c r="E710" s="135"/>
      <c r="F710" s="135"/>
      <c r="G710" s="135"/>
      <c r="H710" s="136"/>
      <c r="I710" s="135"/>
    </row>
    <row r="711" spans="2:9" s="117" customFormat="1" ht="20.100000000000001" customHeight="1" x14ac:dyDescent="0.2">
      <c r="B711" s="3"/>
      <c r="C711" s="3"/>
      <c r="D711" s="135"/>
      <c r="E711" s="135"/>
      <c r="F711" s="135"/>
      <c r="G711" s="135"/>
      <c r="H711" s="136"/>
      <c r="I711" s="135"/>
    </row>
    <row r="712" spans="2:9" s="117" customFormat="1" ht="20.100000000000001" customHeight="1" x14ac:dyDescent="0.2">
      <c r="B712" s="3"/>
      <c r="C712" s="3"/>
      <c r="D712" s="135"/>
      <c r="E712" s="135"/>
      <c r="F712" s="135"/>
      <c r="G712" s="135"/>
      <c r="H712" s="136"/>
      <c r="I712" s="135"/>
    </row>
    <row r="713" spans="2:9" s="117" customFormat="1" ht="20.100000000000001" customHeight="1" x14ac:dyDescent="0.2">
      <c r="B713" s="3"/>
      <c r="C713" s="3"/>
      <c r="D713" s="135"/>
      <c r="E713" s="135"/>
      <c r="F713" s="135"/>
      <c r="G713" s="135"/>
      <c r="H713" s="136"/>
      <c r="I713" s="135"/>
    </row>
    <row r="714" spans="2:9" s="117" customFormat="1" ht="20.100000000000001" customHeight="1" x14ac:dyDescent="0.2">
      <c r="B714" s="3"/>
      <c r="C714" s="3"/>
      <c r="D714" s="135"/>
      <c r="E714" s="135"/>
      <c r="F714" s="135"/>
      <c r="G714" s="135"/>
      <c r="H714" s="136"/>
      <c r="I714" s="135"/>
    </row>
    <row r="715" spans="2:9" s="117" customFormat="1" ht="20.100000000000001" customHeight="1" x14ac:dyDescent="0.2">
      <c r="B715" s="3"/>
      <c r="C715" s="3"/>
      <c r="D715" s="135"/>
      <c r="E715" s="135"/>
      <c r="F715" s="135"/>
      <c r="G715" s="135"/>
      <c r="H715" s="136"/>
      <c r="I715" s="135"/>
    </row>
    <row r="716" spans="2:9" s="117" customFormat="1" ht="20.100000000000001" customHeight="1" x14ac:dyDescent="0.2">
      <c r="B716" s="3"/>
      <c r="C716" s="3"/>
      <c r="D716" s="135"/>
      <c r="E716" s="135"/>
      <c r="F716" s="135"/>
      <c r="G716" s="135"/>
      <c r="H716" s="136"/>
      <c r="I716" s="135"/>
    </row>
    <row r="717" spans="2:9" s="117" customFormat="1" ht="20.100000000000001" customHeight="1" x14ac:dyDescent="0.2">
      <c r="B717" s="3"/>
      <c r="C717" s="3"/>
      <c r="D717" s="135"/>
      <c r="E717" s="135"/>
      <c r="F717" s="135"/>
      <c r="G717" s="135"/>
      <c r="H717" s="136"/>
      <c r="I717" s="135"/>
    </row>
    <row r="718" spans="2:9" s="117" customFormat="1" ht="20.100000000000001" customHeight="1" x14ac:dyDescent="0.2">
      <c r="B718" s="3"/>
      <c r="C718" s="3"/>
      <c r="D718" s="135"/>
      <c r="E718" s="135"/>
      <c r="F718" s="135"/>
      <c r="G718" s="135"/>
      <c r="H718" s="136"/>
      <c r="I718" s="135"/>
    </row>
    <row r="719" spans="2:9" s="117" customFormat="1" ht="20.100000000000001" customHeight="1" x14ac:dyDescent="0.2">
      <c r="B719" s="3"/>
      <c r="C719" s="3"/>
      <c r="D719" s="135"/>
      <c r="E719" s="135"/>
      <c r="F719" s="135"/>
      <c r="G719" s="135"/>
      <c r="H719" s="136"/>
      <c r="I719" s="135"/>
    </row>
    <row r="720" spans="2:9" s="117" customFormat="1" ht="20.100000000000001" customHeight="1" x14ac:dyDescent="0.2">
      <c r="B720" s="3"/>
      <c r="C720" s="3"/>
      <c r="D720" s="135"/>
      <c r="E720" s="135"/>
      <c r="F720" s="135"/>
      <c r="G720" s="135"/>
      <c r="H720" s="136"/>
      <c r="I720" s="135"/>
    </row>
    <row r="721" spans="2:9" s="117" customFormat="1" ht="20.100000000000001" customHeight="1" x14ac:dyDescent="0.2">
      <c r="B721" s="3"/>
      <c r="C721" s="3"/>
      <c r="D721" s="135"/>
      <c r="E721" s="135"/>
      <c r="F721" s="135"/>
      <c r="G721" s="135"/>
      <c r="H721" s="136"/>
      <c r="I721" s="135"/>
    </row>
    <row r="722" spans="2:9" s="117" customFormat="1" ht="20.100000000000001" customHeight="1" x14ac:dyDescent="0.2">
      <c r="B722" s="3"/>
      <c r="C722" s="3"/>
      <c r="D722" s="135"/>
      <c r="E722" s="135"/>
      <c r="F722" s="135"/>
      <c r="G722" s="135"/>
      <c r="H722" s="136"/>
      <c r="I722" s="135"/>
    </row>
    <row r="723" spans="2:9" s="117" customFormat="1" ht="20.100000000000001" customHeight="1" x14ac:dyDescent="0.2">
      <c r="B723" s="3"/>
      <c r="C723" s="3"/>
      <c r="D723" s="135"/>
      <c r="E723" s="135"/>
      <c r="F723" s="135"/>
      <c r="G723" s="135"/>
      <c r="H723" s="136"/>
      <c r="I723" s="135"/>
    </row>
    <row r="724" spans="2:9" s="117" customFormat="1" ht="20.100000000000001" customHeight="1" x14ac:dyDescent="0.2">
      <c r="B724" s="3"/>
      <c r="C724" s="3"/>
      <c r="D724" s="135"/>
      <c r="E724" s="135"/>
      <c r="F724" s="135"/>
      <c r="G724" s="135"/>
      <c r="H724" s="136"/>
      <c r="I724" s="135"/>
    </row>
    <row r="725" spans="2:9" s="117" customFormat="1" ht="20.100000000000001" customHeight="1" x14ac:dyDescent="0.2">
      <c r="B725" s="3"/>
      <c r="C725" s="3"/>
      <c r="D725" s="135"/>
      <c r="E725" s="135"/>
      <c r="F725" s="135"/>
      <c r="G725" s="135"/>
      <c r="H725" s="136"/>
      <c r="I725" s="135"/>
    </row>
    <row r="726" spans="2:9" s="117" customFormat="1" ht="20.100000000000001" customHeight="1" x14ac:dyDescent="0.2">
      <c r="B726" s="3"/>
      <c r="C726" s="3"/>
      <c r="D726" s="135"/>
      <c r="E726" s="135"/>
      <c r="F726" s="135"/>
      <c r="G726" s="135"/>
      <c r="H726" s="136"/>
      <c r="I726" s="135"/>
    </row>
    <row r="727" spans="2:9" s="117" customFormat="1" ht="20.100000000000001" customHeight="1" x14ac:dyDescent="0.2">
      <c r="B727" s="3"/>
      <c r="C727" s="3"/>
      <c r="D727" s="135"/>
      <c r="E727" s="135"/>
      <c r="F727" s="135"/>
      <c r="G727" s="135"/>
      <c r="H727" s="136"/>
      <c r="I727" s="135"/>
    </row>
    <row r="728" spans="2:9" s="117" customFormat="1" ht="20.100000000000001" customHeight="1" x14ac:dyDescent="0.2">
      <c r="B728" s="3"/>
      <c r="C728" s="3"/>
      <c r="D728" s="135"/>
      <c r="E728" s="135"/>
      <c r="F728" s="135"/>
      <c r="G728" s="135"/>
      <c r="H728" s="136"/>
      <c r="I728" s="135"/>
    </row>
    <row r="729" spans="2:9" s="117" customFormat="1" ht="20.100000000000001" customHeight="1" x14ac:dyDescent="0.2">
      <c r="B729" s="3"/>
      <c r="C729" s="3"/>
      <c r="D729" s="135"/>
      <c r="E729" s="135"/>
      <c r="F729" s="135"/>
      <c r="G729" s="135"/>
      <c r="H729" s="136"/>
      <c r="I729" s="135"/>
    </row>
    <row r="730" spans="2:9" s="117" customFormat="1" ht="20.100000000000001" customHeight="1" x14ac:dyDescent="0.2">
      <c r="B730" s="3"/>
      <c r="C730" s="3"/>
      <c r="D730" s="135"/>
      <c r="E730" s="135"/>
      <c r="F730" s="135"/>
      <c r="G730" s="135"/>
      <c r="H730" s="136"/>
      <c r="I730" s="135"/>
    </row>
    <row r="731" spans="2:9" s="117" customFormat="1" ht="20.100000000000001" customHeight="1" x14ac:dyDescent="0.2">
      <c r="B731" s="3"/>
      <c r="C731" s="3"/>
      <c r="D731" s="135"/>
      <c r="E731" s="135"/>
      <c r="F731" s="135"/>
      <c r="G731" s="135"/>
      <c r="H731" s="136"/>
      <c r="I731" s="135"/>
    </row>
    <row r="732" spans="2:9" s="117" customFormat="1" ht="20.100000000000001" customHeight="1" x14ac:dyDescent="0.2">
      <c r="B732" s="3"/>
      <c r="C732" s="3"/>
      <c r="D732" s="135"/>
      <c r="E732" s="135"/>
      <c r="F732" s="135"/>
      <c r="G732" s="135"/>
      <c r="H732" s="136"/>
      <c r="I732" s="135"/>
    </row>
    <row r="733" spans="2:9" s="117" customFormat="1" ht="20.100000000000001" customHeight="1" x14ac:dyDescent="0.2">
      <c r="B733" s="3"/>
      <c r="C733" s="3"/>
      <c r="D733" s="135"/>
      <c r="E733" s="135"/>
      <c r="F733" s="135"/>
      <c r="G733" s="135"/>
      <c r="H733" s="136"/>
      <c r="I733" s="135"/>
    </row>
    <row r="734" spans="2:9" s="117" customFormat="1" ht="20.100000000000001" customHeight="1" x14ac:dyDescent="0.2">
      <c r="B734" s="3"/>
      <c r="C734" s="3"/>
      <c r="D734" s="135"/>
      <c r="E734" s="135"/>
      <c r="F734" s="135"/>
      <c r="G734" s="135"/>
      <c r="H734" s="136"/>
      <c r="I734" s="135"/>
    </row>
    <row r="735" spans="2:9" s="117" customFormat="1" ht="20.100000000000001" customHeight="1" x14ac:dyDescent="0.2">
      <c r="B735" s="3"/>
      <c r="C735" s="3"/>
      <c r="D735" s="135"/>
      <c r="E735" s="135"/>
      <c r="F735" s="135"/>
      <c r="G735" s="135"/>
      <c r="H735" s="136"/>
      <c r="I735" s="135"/>
    </row>
    <row r="736" spans="2:9" s="117" customFormat="1" ht="20.100000000000001" customHeight="1" x14ac:dyDescent="0.2">
      <c r="B736" s="3"/>
      <c r="C736" s="3"/>
      <c r="D736" s="135"/>
      <c r="E736" s="135"/>
      <c r="F736" s="135"/>
      <c r="G736" s="135"/>
      <c r="H736" s="136"/>
      <c r="I736" s="135"/>
    </row>
    <row r="737" spans="2:9" s="117" customFormat="1" ht="20.100000000000001" customHeight="1" x14ac:dyDescent="0.2">
      <c r="B737" s="3"/>
      <c r="C737" s="3"/>
      <c r="D737" s="135"/>
      <c r="E737" s="135"/>
      <c r="F737" s="135"/>
      <c r="G737" s="135"/>
      <c r="H737" s="136"/>
      <c r="I737" s="135"/>
    </row>
    <row r="738" spans="2:9" s="117" customFormat="1" ht="20.100000000000001" customHeight="1" x14ac:dyDescent="0.2">
      <c r="B738" s="3"/>
      <c r="C738" s="3"/>
      <c r="D738" s="135"/>
      <c r="E738" s="135"/>
      <c r="F738" s="135"/>
      <c r="G738" s="135"/>
      <c r="H738" s="136"/>
      <c r="I738" s="135"/>
    </row>
    <row r="739" spans="2:9" s="117" customFormat="1" ht="20.100000000000001" customHeight="1" x14ac:dyDescent="0.2">
      <c r="B739" s="3"/>
      <c r="C739" s="3"/>
      <c r="D739" s="135"/>
      <c r="E739" s="135"/>
      <c r="F739" s="135"/>
      <c r="G739" s="135"/>
      <c r="H739" s="136"/>
      <c r="I739" s="135"/>
    </row>
    <row r="740" spans="2:9" s="117" customFormat="1" ht="20.100000000000001" customHeight="1" x14ac:dyDescent="0.2">
      <c r="B740" s="3"/>
      <c r="C740" s="3"/>
      <c r="D740" s="135"/>
      <c r="E740" s="135"/>
      <c r="F740" s="135"/>
      <c r="G740" s="135"/>
      <c r="H740" s="136"/>
      <c r="I740" s="135"/>
    </row>
    <row r="741" spans="2:9" s="117" customFormat="1" ht="20.100000000000001" customHeight="1" x14ac:dyDescent="0.2">
      <c r="B741" s="3"/>
      <c r="C741" s="3"/>
      <c r="D741" s="135"/>
      <c r="E741" s="135"/>
      <c r="F741" s="135"/>
      <c r="G741" s="135"/>
      <c r="H741" s="136"/>
      <c r="I741" s="135"/>
    </row>
    <row r="742" spans="2:9" s="117" customFormat="1" ht="20.100000000000001" customHeight="1" x14ac:dyDescent="0.2">
      <c r="B742" s="3"/>
      <c r="C742" s="3"/>
      <c r="D742" s="135"/>
      <c r="E742" s="135"/>
      <c r="F742" s="135"/>
      <c r="G742" s="135"/>
      <c r="H742" s="136"/>
      <c r="I742" s="135"/>
    </row>
    <row r="743" spans="2:9" s="117" customFormat="1" ht="20.100000000000001" customHeight="1" x14ac:dyDescent="0.2">
      <c r="B743" s="3"/>
      <c r="C743" s="3"/>
      <c r="D743" s="135"/>
      <c r="E743" s="135"/>
      <c r="F743" s="135"/>
      <c r="G743" s="135"/>
      <c r="H743" s="136"/>
      <c r="I743" s="135"/>
    </row>
    <row r="744" spans="2:9" s="117" customFormat="1" ht="20.100000000000001" customHeight="1" x14ac:dyDescent="0.2">
      <c r="B744" s="3"/>
      <c r="C744" s="3"/>
      <c r="D744" s="135"/>
      <c r="E744" s="135"/>
      <c r="F744" s="135"/>
      <c r="G744" s="135"/>
      <c r="H744" s="136"/>
      <c r="I744" s="135"/>
    </row>
    <row r="745" spans="2:9" s="117" customFormat="1" ht="20.100000000000001" customHeight="1" x14ac:dyDescent="0.2">
      <c r="B745" s="3"/>
      <c r="C745" s="3"/>
      <c r="D745" s="135"/>
      <c r="E745" s="135"/>
      <c r="F745" s="135"/>
      <c r="G745" s="135"/>
      <c r="H745" s="136"/>
      <c r="I745" s="135"/>
    </row>
    <row r="746" spans="2:9" s="117" customFormat="1" ht="20.100000000000001" customHeight="1" x14ac:dyDescent="0.2">
      <c r="B746" s="3"/>
      <c r="C746" s="3"/>
      <c r="D746" s="135"/>
      <c r="E746" s="135"/>
      <c r="F746" s="135"/>
      <c r="G746" s="135"/>
      <c r="H746" s="136"/>
      <c r="I746" s="135"/>
    </row>
    <row r="747" spans="2:9" s="117" customFormat="1" ht="20.100000000000001" customHeight="1" x14ac:dyDescent="0.2">
      <c r="B747" s="3"/>
      <c r="C747" s="3"/>
      <c r="D747" s="135"/>
      <c r="E747" s="135"/>
      <c r="F747" s="135"/>
      <c r="G747" s="135"/>
      <c r="H747" s="136"/>
      <c r="I747" s="135"/>
    </row>
    <row r="748" spans="2:9" s="117" customFormat="1" ht="20.100000000000001" customHeight="1" x14ac:dyDescent="0.2">
      <c r="B748" s="3"/>
      <c r="C748" s="3"/>
      <c r="D748" s="135"/>
      <c r="E748" s="135"/>
      <c r="F748" s="135"/>
      <c r="G748" s="135"/>
      <c r="H748" s="136"/>
      <c r="I748" s="135"/>
    </row>
    <row r="749" spans="2:9" s="117" customFormat="1" ht="20.100000000000001" customHeight="1" x14ac:dyDescent="0.2">
      <c r="B749" s="3"/>
      <c r="C749" s="3"/>
      <c r="D749" s="135"/>
      <c r="E749" s="135"/>
      <c r="F749" s="135"/>
      <c r="G749" s="135"/>
      <c r="H749" s="136"/>
      <c r="I749" s="135"/>
    </row>
    <row r="750" spans="2:9" s="117" customFormat="1" ht="20.100000000000001" customHeight="1" x14ac:dyDescent="0.2">
      <c r="B750" s="3"/>
      <c r="C750" s="3"/>
      <c r="D750" s="135"/>
      <c r="E750" s="135"/>
      <c r="F750" s="135"/>
      <c r="G750" s="135"/>
      <c r="H750" s="136"/>
      <c r="I750" s="135"/>
    </row>
    <row r="751" spans="2:9" s="117" customFormat="1" ht="20.100000000000001" customHeight="1" x14ac:dyDescent="0.2">
      <c r="B751" s="3"/>
      <c r="C751" s="3"/>
      <c r="D751" s="135"/>
      <c r="E751" s="135"/>
      <c r="F751" s="135"/>
      <c r="G751" s="135"/>
      <c r="H751" s="136"/>
      <c r="I751" s="135"/>
    </row>
    <row r="752" spans="2:9" s="117" customFormat="1" ht="20.100000000000001" customHeight="1" x14ac:dyDescent="0.2">
      <c r="B752" s="3"/>
      <c r="C752" s="3"/>
      <c r="D752" s="135"/>
      <c r="E752" s="135"/>
      <c r="F752" s="135"/>
      <c r="G752" s="135"/>
      <c r="H752" s="136"/>
      <c r="I752" s="135"/>
    </row>
    <row r="753" spans="2:9" s="117" customFormat="1" ht="20.100000000000001" customHeight="1" x14ac:dyDescent="0.2">
      <c r="B753" s="3"/>
      <c r="C753" s="3"/>
      <c r="D753" s="135"/>
      <c r="E753" s="135"/>
      <c r="F753" s="135"/>
      <c r="G753" s="135"/>
      <c r="H753" s="136"/>
      <c r="I753" s="135"/>
    </row>
    <row r="754" spans="2:9" s="117" customFormat="1" ht="20.100000000000001" customHeight="1" x14ac:dyDescent="0.2">
      <c r="B754" s="3"/>
      <c r="C754" s="3"/>
      <c r="D754" s="135"/>
      <c r="E754" s="135"/>
      <c r="F754" s="135"/>
      <c r="G754" s="135"/>
      <c r="H754" s="136"/>
      <c r="I754" s="135"/>
    </row>
    <row r="755" spans="2:9" s="117" customFormat="1" ht="20.100000000000001" customHeight="1" x14ac:dyDescent="0.2">
      <c r="B755" s="3"/>
      <c r="C755" s="3"/>
      <c r="D755" s="135"/>
      <c r="E755" s="135"/>
      <c r="F755" s="135"/>
      <c r="G755" s="135"/>
      <c r="H755" s="136"/>
      <c r="I755" s="135"/>
    </row>
    <row r="756" spans="2:9" s="117" customFormat="1" ht="20.100000000000001" customHeight="1" x14ac:dyDescent="0.2">
      <c r="B756" s="3"/>
      <c r="C756" s="3"/>
      <c r="D756" s="135"/>
      <c r="E756" s="135"/>
      <c r="F756" s="135"/>
      <c r="G756" s="135"/>
      <c r="H756" s="136"/>
      <c r="I756" s="135"/>
    </row>
    <row r="757" spans="2:9" s="117" customFormat="1" ht="20.100000000000001" customHeight="1" x14ac:dyDescent="0.2">
      <c r="B757" s="3"/>
      <c r="C757" s="3"/>
      <c r="D757" s="135"/>
      <c r="E757" s="135"/>
      <c r="F757" s="135"/>
      <c r="G757" s="135"/>
      <c r="H757" s="136"/>
      <c r="I757" s="135"/>
    </row>
    <row r="758" spans="2:9" s="117" customFormat="1" ht="20.100000000000001" customHeight="1" x14ac:dyDescent="0.2">
      <c r="B758" s="3"/>
      <c r="C758" s="3"/>
      <c r="D758" s="135"/>
      <c r="E758" s="135"/>
      <c r="F758" s="135"/>
      <c r="G758" s="135"/>
      <c r="H758" s="136"/>
      <c r="I758" s="135"/>
    </row>
    <row r="759" spans="2:9" s="117" customFormat="1" ht="20.100000000000001" customHeight="1" x14ac:dyDescent="0.2">
      <c r="B759" s="3"/>
      <c r="C759" s="3"/>
      <c r="D759" s="135"/>
      <c r="E759" s="135"/>
      <c r="F759" s="135"/>
      <c r="G759" s="135"/>
      <c r="H759" s="136"/>
      <c r="I759" s="135"/>
    </row>
    <row r="760" spans="2:9" s="117" customFormat="1" ht="20.100000000000001" customHeight="1" x14ac:dyDescent="0.2">
      <c r="B760" s="3"/>
      <c r="C760" s="3"/>
      <c r="D760" s="135"/>
      <c r="E760" s="135"/>
      <c r="F760" s="135"/>
      <c r="G760" s="135"/>
      <c r="H760" s="136"/>
      <c r="I760" s="135"/>
    </row>
    <row r="761" spans="2:9" s="117" customFormat="1" ht="20.100000000000001" customHeight="1" x14ac:dyDescent="0.2">
      <c r="B761" s="3"/>
      <c r="C761" s="3"/>
      <c r="D761" s="135"/>
      <c r="E761" s="135"/>
      <c r="F761" s="135"/>
      <c r="G761" s="135"/>
      <c r="H761" s="136"/>
      <c r="I761" s="135"/>
    </row>
    <row r="762" spans="2:9" s="117" customFormat="1" ht="20.100000000000001" customHeight="1" x14ac:dyDescent="0.2">
      <c r="B762" s="3"/>
      <c r="C762" s="3"/>
      <c r="D762" s="135"/>
      <c r="E762" s="135"/>
      <c r="F762" s="135"/>
      <c r="G762" s="135"/>
      <c r="H762" s="136"/>
      <c r="I762" s="135"/>
    </row>
    <row r="763" spans="2:9" s="117" customFormat="1" ht="20.100000000000001" customHeight="1" x14ac:dyDescent="0.2">
      <c r="B763" s="3"/>
      <c r="C763" s="3"/>
      <c r="D763" s="135"/>
      <c r="E763" s="135"/>
      <c r="F763" s="135"/>
      <c r="G763" s="135"/>
      <c r="H763" s="136"/>
      <c r="I763" s="135"/>
    </row>
    <row r="764" spans="2:9" s="117" customFormat="1" ht="20.100000000000001" customHeight="1" x14ac:dyDescent="0.2">
      <c r="B764" s="3"/>
      <c r="C764" s="3"/>
      <c r="D764" s="135"/>
      <c r="E764" s="135"/>
      <c r="F764" s="135"/>
      <c r="G764" s="135"/>
      <c r="H764" s="136"/>
      <c r="I764" s="135"/>
    </row>
    <row r="765" spans="2:9" s="117" customFormat="1" ht="20.100000000000001" customHeight="1" x14ac:dyDescent="0.2">
      <c r="B765" s="3"/>
      <c r="C765" s="3"/>
      <c r="D765" s="135"/>
      <c r="E765" s="135"/>
      <c r="F765" s="135"/>
      <c r="G765" s="135"/>
      <c r="H765" s="136"/>
      <c r="I765" s="135"/>
    </row>
    <row r="766" spans="2:9" s="117" customFormat="1" ht="20.100000000000001" customHeight="1" x14ac:dyDescent="0.2">
      <c r="B766" s="3"/>
      <c r="C766" s="3"/>
      <c r="D766" s="135"/>
      <c r="E766" s="135"/>
      <c r="F766" s="135"/>
      <c r="G766" s="135"/>
      <c r="H766" s="136"/>
      <c r="I766" s="135"/>
    </row>
    <row r="767" spans="2:9" s="117" customFormat="1" ht="20.100000000000001" customHeight="1" x14ac:dyDescent="0.2">
      <c r="B767" s="3"/>
      <c r="C767" s="3"/>
      <c r="D767" s="135"/>
      <c r="E767" s="135"/>
      <c r="F767" s="135"/>
      <c r="G767" s="135"/>
      <c r="H767" s="136"/>
      <c r="I767" s="135"/>
    </row>
    <row r="768" spans="2:9" s="117" customFormat="1" ht="20.100000000000001" customHeight="1" x14ac:dyDescent="0.2">
      <c r="B768" s="3"/>
      <c r="C768" s="3"/>
      <c r="D768" s="135"/>
      <c r="E768" s="135"/>
      <c r="F768" s="135"/>
      <c r="G768" s="135"/>
      <c r="H768" s="136"/>
      <c r="I768" s="135"/>
    </row>
    <row r="769" spans="2:9" s="117" customFormat="1" ht="20.100000000000001" customHeight="1" x14ac:dyDescent="0.2">
      <c r="B769" s="3"/>
      <c r="C769" s="3"/>
      <c r="D769" s="135"/>
      <c r="E769" s="135"/>
      <c r="F769" s="135"/>
      <c r="G769" s="135"/>
      <c r="H769" s="136"/>
      <c r="I769" s="135"/>
    </row>
    <row r="770" spans="2:9" s="117" customFormat="1" ht="20.100000000000001" customHeight="1" x14ac:dyDescent="0.2">
      <c r="B770" s="3"/>
      <c r="C770" s="3"/>
      <c r="D770" s="135"/>
      <c r="E770" s="135"/>
      <c r="F770" s="135"/>
      <c r="G770" s="135"/>
      <c r="H770" s="136"/>
      <c r="I770" s="135"/>
    </row>
    <row r="771" spans="2:9" s="117" customFormat="1" ht="20.100000000000001" customHeight="1" x14ac:dyDescent="0.2">
      <c r="B771" s="3"/>
      <c r="C771" s="3"/>
      <c r="D771" s="135"/>
      <c r="E771" s="135"/>
      <c r="F771" s="135"/>
      <c r="G771" s="135"/>
      <c r="H771" s="136"/>
      <c r="I771" s="135"/>
    </row>
    <row r="772" spans="2:9" s="117" customFormat="1" ht="20.100000000000001" customHeight="1" x14ac:dyDescent="0.2">
      <c r="B772" s="3"/>
      <c r="C772" s="3"/>
      <c r="D772" s="135"/>
      <c r="E772" s="135"/>
      <c r="F772" s="135"/>
      <c r="G772" s="135"/>
      <c r="H772" s="136"/>
      <c r="I772" s="135"/>
    </row>
    <row r="773" spans="2:9" s="117" customFormat="1" ht="20.100000000000001" customHeight="1" x14ac:dyDescent="0.2">
      <c r="B773" s="3"/>
      <c r="C773" s="3"/>
      <c r="D773" s="135"/>
      <c r="E773" s="135"/>
      <c r="F773" s="135"/>
      <c r="G773" s="135"/>
      <c r="H773" s="136"/>
      <c r="I773" s="135"/>
    </row>
    <row r="774" spans="2:9" s="117" customFormat="1" ht="20.100000000000001" customHeight="1" x14ac:dyDescent="0.2">
      <c r="B774" s="3"/>
      <c r="C774" s="3"/>
      <c r="D774" s="135"/>
      <c r="E774" s="135"/>
      <c r="F774" s="135"/>
      <c r="G774" s="135"/>
      <c r="H774" s="136"/>
      <c r="I774" s="135"/>
    </row>
    <row r="775" spans="2:9" s="117" customFormat="1" ht="20.100000000000001" customHeight="1" x14ac:dyDescent="0.2">
      <c r="B775" s="3"/>
      <c r="C775" s="3"/>
      <c r="D775" s="135"/>
      <c r="E775" s="135"/>
      <c r="F775" s="135"/>
      <c r="G775" s="135"/>
      <c r="H775" s="136"/>
      <c r="I775" s="135"/>
    </row>
    <row r="776" spans="2:9" s="117" customFormat="1" ht="20.100000000000001" customHeight="1" x14ac:dyDescent="0.2">
      <c r="B776" s="3"/>
      <c r="C776" s="3"/>
      <c r="D776" s="135"/>
      <c r="E776" s="135"/>
      <c r="F776" s="135"/>
      <c r="G776" s="135"/>
      <c r="H776" s="136"/>
      <c r="I776" s="135"/>
    </row>
    <row r="777" spans="2:9" s="117" customFormat="1" ht="20.100000000000001" customHeight="1" x14ac:dyDescent="0.2">
      <c r="B777" s="3"/>
      <c r="C777" s="3"/>
      <c r="D777" s="135"/>
      <c r="E777" s="135"/>
      <c r="F777" s="135"/>
      <c r="G777" s="135"/>
      <c r="H777" s="136"/>
      <c r="I777" s="135"/>
    </row>
    <row r="778" spans="2:9" s="117" customFormat="1" ht="20.100000000000001" customHeight="1" x14ac:dyDescent="0.2">
      <c r="B778" s="3"/>
      <c r="C778" s="3"/>
      <c r="D778" s="135"/>
      <c r="E778" s="135"/>
      <c r="F778" s="135"/>
      <c r="G778" s="135"/>
      <c r="H778" s="136"/>
      <c r="I778" s="135"/>
    </row>
    <row r="779" spans="2:9" s="117" customFormat="1" ht="20.100000000000001" customHeight="1" x14ac:dyDescent="0.2">
      <c r="B779" s="3"/>
      <c r="C779" s="3"/>
      <c r="D779" s="135"/>
      <c r="E779" s="135"/>
      <c r="F779" s="135"/>
      <c r="G779" s="135"/>
      <c r="H779" s="136"/>
      <c r="I779" s="135"/>
    </row>
    <row r="780" spans="2:9" s="117" customFormat="1" ht="20.100000000000001" customHeight="1" x14ac:dyDescent="0.2">
      <c r="B780" s="3"/>
      <c r="C780" s="3"/>
      <c r="D780" s="135"/>
      <c r="E780" s="135"/>
      <c r="F780" s="135"/>
      <c r="G780" s="135"/>
      <c r="H780" s="136"/>
      <c r="I780" s="135"/>
    </row>
    <row r="781" spans="2:9" s="117" customFormat="1" ht="20.100000000000001" customHeight="1" x14ac:dyDescent="0.2">
      <c r="B781" s="3"/>
      <c r="C781" s="3"/>
      <c r="D781" s="135"/>
      <c r="E781" s="135"/>
      <c r="F781" s="135"/>
      <c r="G781" s="135"/>
      <c r="H781" s="136"/>
      <c r="I781" s="135"/>
    </row>
    <row r="782" spans="2:9" s="117" customFormat="1" ht="20.100000000000001" customHeight="1" x14ac:dyDescent="0.2">
      <c r="B782" s="3"/>
      <c r="C782" s="3"/>
      <c r="D782" s="135"/>
      <c r="E782" s="135"/>
      <c r="F782" s="135"/>
      <c r="G782" s="135"/>
      <c r="H782" s="136"/>
      <c r="I782" s="135"/>
    </row>
    <row r="783" spans="2:9" s="117" customFormat="1" ht="20.100000000000001" customHeight="1" x14ac:dyDescent="0.2">
      <c r="B783" s="3"/>
      <c r="C783" s="3"/>
      <c r="D783" s="135"/>
      <c r="E783" s="135"/>
      <c r="F783" s="135"/>
      <c r="G783" s="135"/>
      <c r="H783" s="136"/>
      <c r="I783" s="135"/>
    </row>
    <row r="784" spans="2:9" s="117" customFormat="1" ht="20.100000000000001" customHeight="1" x14ac:dyDescent="0.2">
      <c r="B784" s="3"/>
      <c r="C784" s="3"/>
      <c r="D784" s="135"/>
      <c r="E784" s="135"/>
      <c r="F784" s="135"/>
      <c r="G784" s="135"/>
      <c r="H784" s="136"/>
      <c r="I784" s="135"/>
    </row>
    <row r="785" spans="2:9" s="117" customFormat="1" ht="20.100000000000001" customHeight="1" x14ac:dyDescent="0.2">
      <c r="B785" s="3"/>
      <c r="C785" s="3"/>
      <c r="D785" s="135"/>
      <c r="E785" s="135"/>
      <c r="F785" s="135"/>
      <c r="G785" s="135"/>
      <c r="H785" s="136"/>
      <c r="I785" s="135"/>
    </row>
    <row r="786" spans="2:9" s="117" customFormat="1" ht="20.100000000000001" customHeight="1" x14ac:dyDescent="0.2">
      <c r="B786" s="3"/>
      <c r="C786" s="3"/>
      <c r="D786" s="135"/>
      <c r="E786" s="135"/>
      <c r="F786" s="135"/>
      <c r="G786" s="135"/>
      <c r="H786" s="136"/>
      <c r="I786" s="135"/>
    </row>
    <row r="787" spans="2:9" s="117" customFormat="1" ht="20.100000000000001" customHeight="1" x14ac:dyDescent="0.2">
      <c r="B787" s="3"/>
      <c r="C787" s="3"/>
      <c r="D787" s="135"/>
      <c r="E787" s="135"/>
      <c r="F787" s="135"/>
      <c r="G787" s="135"/>
      <c r="H787" s="136"/>
      <c r="I787" s="135"/>
    </row>
    <row r="788" spans="2:9" s="117" customFormat="1" ht="20.100000000000001" customHeight="1" x14ac:dyDescent="0.2">
      <c r="B788" s="3"/>
      <c r="C788" s="3"/>
      <c r="D788" s="135"/>
      <c r="E788" s="135"/>
      <c r="F788" s="135"/>
      <c r="G788" s="135"/>
      <c r="H788" s="136"/>
      <c r="I788" s="135"/>
    </row>
    <row r="789" spans="2:9" s="117" customFormat="1" ht="20.100000000000001" customHeight="1" x14ac:dyDescent="0.2">
      <c r="B789" s="3"/>
      <c r="C789" s="3"/>
      <c r="D789" s="135"/>
      <c r="E789" s="135"/>
      <c r="F789" s="135"/>
      <c r="G789" s="135"/>
      <c r="H789" s="136"/>
      <c r="I789" s="135"/>
    </row>
    <row r="790" spans="2:9" s="117" customFormat="1" ht="20.100000000000001" customHeight="1" x14ac:dyDescent="0.2">
      <c r="B790" s="3"/>
      <c r="C790" s="3"/>
      <c r="D790" s="135"/>
      <c r="E790" s="135"/>
      <c r="F790" s="135"/>
      <c r="G790" s="135"/>
      <c r="H790" s="136"/>
      <c r="I790" s="135"/>
    </row>
    <row r="791" spans="2:9" s="117" customFormat="1" ht="20.100000000000001" customHeight="1" x14ac:dyDescent="0.2">
      <c r="B791" s="3"/>
      <c r="C791" s="3"/>
      <c r="D791" s="135"/>
      <c r="E791" s="135"/>
      <c r="F791" s="135"/>
      <c r="G791" s="135"/>
      <c r="H791" s="136"/>
      <c r="I791" s="135"/>
    </row>
    <row r="792" spans="2:9" s="117" customFormat="1" ht="20.100000000000001" customHeight="1" x14ac:dyDescent="0.2">
      <c r="B792" s="3"/>
      <c r="C792" s="3"/>
      <c r="D792" s="135"/>
      <c r="E792" s="135"/>
      <c r="F792" s="135"/>
      <c r="G792" s="135"/>
      <c r="H792" s="136"/>
      <c r="I792" s="135"/>
    </row>
    <row r="793" spans="2:9" s="117" customFormat="1" ht="20.100000000000001" customHeight="1" x14ac:dyDescent="0.2">
      <c r="B793" s="3"/>
      <c r="C793" s="3"/>
      <c r="D793" s="135"/>
      <c r="E793" s="135"/>
      <c r="F793" s="135"/>
      <c r="G793" s="135"/>
      <c r="H793" s="136"/>
      <c r="I793" s="135"/>
    </row>
    <row r="794" spans="2:9" s="117" customFormat="1" ht="20.100000000000001" customHeight="1" x14ac:dyDescent="0.2">
      <c r="B794" s="3"/>
      <c r="C794" s="3"/>
      <c r="D794" s="135"/>
      <c r="E794" s="135"/>
      <c r="F794" s="135"/>
      <c r="G794" s="135"/>
      <c r="H794" s="136"/>
      <c r="I794" s="135"/>
    </row>
    <row r="795" spans="2:9" s="117" customFormat="1" ht="20.100000000000001" customHeight="1" x14ac:dyDescent="0.2">
      <c r="B795" s="3"/>
      <c r="C795" s="3"/>
      <c r="D795" s="135"/>
      <c r="E795" s="135"/>
      <c r="F795" s="135"/>
      <c r="G795" s="135"/>
      <c r="H795" s="136"/>
      <c r="I795" s="135"/>
    </row>
    <row r="796" spans="2:9" s="117" customFormat="1" ht="20.100000000000001" customHeight="1" x14ac:dyDescent="0.2">
      <c r="B796" s="3"/>
      <c r="C796" s="3"/>
      <c r="D796" s="135"/>
      <c r="E796" s="135"/>
      <c r="F796" s="135"/>
      <c r="G796" s="135"/>
      <c r="H796" s="136"/>
      <c r="I796" s="135"/>
    </row>
    <row r="797" spans="2:9" s="117" customFormat="1" ht="20.100000000000001" customHeight="1" x14ac:dyDescent="0.2">
      <c r="B797" s="3"/>
      <c r="C797" s="3"/>
      <c r="D797" s="135"/>
      <c r="E797" s="135"/>
      <c r="F797" s="135"/>
      <c r="G797" s="135"/>
      <c r="H797" s="136"/>
      <c r="I797" s="135"/>
    </row>
    <row r="798" spans="2:9" s="117" customFormat="1" ht="20.100000000000001" customHeight="1" x14ac:dyDescent="0.2">
      <c r="B798" s="3"/>
      <c r="C798" s="3"/>
      <c r="D798" s="135"/>
      <c r="E798" s="135"/>
      <c r="F798" s="135"/>
      <c r="G798" s="135"/>
      <c r="H798" s="136"/>
      <c r="I798" s="135"/>
    </row>
    <row r="799" spans="2:9" s="117" customFormat="1" ht="20.100000000000001" customHeight="1" x14ac:dyDescent="0.2">
      <c r="B799" s="3"/>
      <c r="C799" s="3"/>
      <c r="D799" s="135"/>
      <c r="E799" s="135"/>
      <c r="F799" s="135"/>
      <c r="G799" s="135"/>
      <c r="H799" s="136"/>
      <c r="I799" s="135"/>
    </row>
    <row r="800" spans="2:9" s="117" customFormat="1" ht="20.100000000000001" customHeight="1" x14ac:dyDescent="0.2">
      <c r="B800" s="3"/>
      <c r="C800" s="3"/>
      <c r="D800" s="135"/>
      <c r="E800" s="135"/>
      <c r="F800" s="135"/>
      <c r="G800" s="135"/>
      <c r="H800" s="136"/>
      <c r="I800" s="135"/>
    </row>
    <row r="801" spans="2:9" s="117" customFormat="1" ht="20.100000000000001" customHeight="1" x14ac:dyDescent="0.2">
      <c r="B801" s="3"/>
      <c r="C801" s="3"/>
      <c r="D801" s="135"/>
      <c r="E801" s="135"/>
      <c r="F801" s="135"/>
      <c r="G801" s="135"/>
      <c r="H801" s="136"/>
      <c r="I801" s="135"/>
    </row>
    <row r="802" spans="2:9" s="117" customFormat="1" ht="20.100000000000001" customHeight="1" x14ac:dyDescent="0.2">
      <c r="B802" s="3"/>
      <c r="C802" s="3"/>
      <c r="D802" s="135"/>
      <c r="E802" s="135"/>
      <c r="F802" s="135"/>
      <c r="G802" s="135"/>
      <c r="H802" s="136"/>
      <c r="I802" s="135"/>
    </row>
    <row r="803" spans="2:9" s="117" customFormat="1" ht="20.100000000000001" customHeight="1" x14ac:dyDescent="0.2">
      <c r="B803" s="3"/>
      <c r="C803" s="3"/>
      <c r="D803" s="135"/>
      <c r="E803" s="135"/>
      <c r="F803" s="135"/>
      <c r="G803" s="135"/>
      <c r="H803" s="136"/>
      <c r="I803" s="135"/>
    </row>
    <row r="804" spans="2:9" s="117" customFormat="1" ht="20.100000000000001" customHeight="1" x14ac:dyDescent="0.2">
      <c r="B804" s="3"/>
      <c r="C804" s="3"/>
      <c r="D804" s="135"/>
      <c r="E804" s="135"/>
      <c r="F804" s="135"/>
      <c r="G804" s="135"/>
      <c r="H804" s="136"/>
      <c r="I804" s="135"/>
    </row>
    <row r="805" spans="2:9" s="117" customFormat="1" ht="20.100000000000001" customHeight="1" x14ac:dyDescent="0.2">
      <c r="B805" s="3"/>
      <c r="C805" s="3"/>
      <c r="D805" s="135"/>
      <c r="E805" s="135"/>
      <c r="F805" s="135"/>
      <c r="G805" s="135"/>
      <c r="H805" s="136"/>
      <c r="I805" s="135"/>
    </row>
    <row r="806" spans="2:9" s="117" customFormat="1" ht="20.100000000000001" customHeight="1" x14ac:dyDescent="0.2">
      <c r="B806" s="3"/>
      <c r="C806" s="3"/>
      <c r="D806" s="135"/>
      <c r="E806" s="135"/>
      <c r="F806" s="135"/>
      <c r="G806" s="135"/>
      <c r="H806" s="136"/>
      <c r="I806" s="135"/>
    </row>
    <row r="807" spans="2:9" s="117" customFormat="1" ht="20.100000000000001" customHeight="1" x14ac:dyDescent="0.2">
      <c r="B807" s="3"/>
      <c r="C807" s="3"/>
      <c r="D807" s="135"/>
      <c r="E807" s="135"/>
      <c r="F807" s="135"/>
      <c r="G807" s="135"/>
      <c r="H807" s="136"/>
      <c r="I807" s="135"/>
    </row>
    <row r="808" spans="2:9" s="117" customFormat="1" ht="20.100000000000001" customHeight="1" x14ac:dyDescent="0.2">
      <c r="B808" s="3"/>
      <c r="C808" s="3"/>
      <c r="D808" s="135"/>
      <c r="E808" s="135"/>
      <c r="F808" s="135"/>
      <c r="G808" s="135"/>
      <c r="H808" s="136"/>
      <c r="I808" s="135"/>
    </row>
    <row r="809" spans="2:9" s="117" customFormat="1" ht="20.100000000000001" customHeight="1" x14ac:dyDescent="0.2">
      <c r="B809" s="3"/>
      <c r="C809" s="3"/>
      <c r="D809" s="135"/>
      <c r="E809" s="135"/>
      <c r="F809" s="135"/>
      <c r="G809" s="135"/>
      <c r="H809" s="136"/>
      <c r="I809" s="135"/>
    </row>
    <row r="810" spans="2:9" s="117" customFormat="1" ht="20.100000000000001" customHeight="1" x14ac:dyDescent="0.2">
      <c r="B810" s="3"/>
      <c r="C810" s="3"/>
      <c r="D810" s="135"/>
      <c r="E810" s="135"/>
      <c r="F810" s="135"/>
      <c r="G810" s="135"/>
      <c r="H810" s="136"/>
      <c r="I810" s="135"/>
    </row>
    <row r="811" spans="2:9" s="117" customFormat="1" ht="20.100000000000001" customHeight="1" x14ac:dyDescent="0.2">
      <c r="B811" s="3"/>
      <c r="C811" s="3"/>
      <c r="D811" s="135"/>
      <c r="E811" s="135"/>
      <c r="F811" s="135"/>
      <c r="G811" s="135"/>
      <c r="H811" s="136"/>
      <c r="I811" s="135"/>
    </row>
    <row r="812" spans="2:9" s="117" customFormat="1" ht="20.100000000000001" customHeight="1" x14ac:dyDescent="0.2">
      <c r="B812" s="3"/>
      <c r="C812" s="3"/>
      <c r="D812" s="135"/>
      <c r="E812" s="135"/>
      <c r="F812" s="135"/>
      <c r="G812" s="135"/>
      <c r="H812" s="136"/>
      <c r="I812" s="135"/>
    </row>
    <row r="813" spans="2:9" s="117" customFormat="1" ht="20.100000000000001" customHeight="1" x14ac:dyDescent="0.2">
      <c r="B813" s="3"/>
      <c r="C813" s="3"/>
      <c r="D813" s="135"/>
      <c r="E813" s="135"/>
      <c r="F813" s="135"/>
      <c r="G813" s="135"/>
      <c r="H813" s="136"/>
      <c r="I813" s="135"/>
    </row>
    <row r="814" spans="2:9" s="117" customFormat="1" ht="20.100000000000001" customHeight="1" x14ac:dyDescent="0.2">
      <c r="B814" s="3"/>
      <c r="C814" s="3"/>
      <c r="D814" s="135"/>
      <c r="E814" s="135"/>
      <c r="F814" s="135"/>
      <c r="G814" s="135"/>
      <c r="H814" s="136"/>
      <c r="I814" s="135"/>
    </row>
    <row r="815" spans="2:9" s="117" customFormat="1" ht="20.100000000000001" customHeight="1" x14ac:dyDescent="0.2">
      <c r="B815" s="3"/>
      <c r="C815" s="3"/>
      <c r="D815" s="135"/>
      <c r="E815" s="135"/>
      <c r="F815" s="135"/>
      <c r="G815" s="135"/>
      <c r="H815" s="136"/>
      <c r="I815" s="135"/>
    </row>
    <row r="816" spans="2:9" s="117" customFormat="1" ht="20.100000000000001" customHeight="1" x14ac:dyDescent="0.2">
      <c r="B816" s="3"/>
      <c r="C816" s="3"/>
      <c r="D816" s="135"/>
      <c r="E816" s="135"/>
      <c r="F816" s="135"/>
      <c r="G816" s="135"/>
      <c r="H816" s="136"/>
      <c r="I816" s="135"/>
    </row>
    <row r="817" spans="2:9" s="117" customFormat="1" ht="20.100000000000001" customHeight="1" x14ac:dyDescent="0.2">
      <c r="B817" s="3"/>
      <c r="C817" s="3"/>
      <c r="D817" s="135"/>
      <c r="E817" s="135"/>
      <c r="F817" s="135"/>
      <c r="G817" s="135"/>
      <c r="H817" s="136"/>
      <c r="I817" s="135"/>
    </row>
    <row r="818" spans="2:9" s="117" customFormat="1" ht="20.100000000000001" customHeight="1" x14ac:dyDescent="0.2">
      <c r="B818" s="3"/>
      <c r="C818" s="3"/>
      <c r="D818" s="135"/>
      <c r="E818" s="135"/>
      <c r="F818" s="135"/>
      <c r="G818" s="135"/>
      <c r="H818" s="136"/>
      <c r="I818" s="135"/>
    </row>
    <row r="819" spans="2:9" s="117" customFormat="1" ht="20.100000000000001" customHeight="1" x14ac:dyDescent="0.2">
      <c r="B819" s="3"/>
      <c r="C819" s="3"/>
      <c r="D819" s="135"/>
      <c r="E819" s="135"/>
      <c r="F819" s="135"/>
      <c r="G819" s="135"/>
      <c r="H819" s="136"/>
      <c r="I819" s="135"/>
    </row>
    <row r="820" spans="2:9" s="117" customFormat="1" ht="20.100000000000001" customHeight="1" x14ac:dyDescent="0.2">
      <c r="B820" s="3"/>
      <c r="C820" s="3"/>
      <c r="D820" s="135"/>
      <c r="E820" s="135"/>
      <c r="F820" s="135"/>
      <c r="G820" s="135"/>
      <c r="H820" s="136"/>
      <c r="I820" s="135"/>
    </row>
    <row r="821" spans="2:9" s="117" customFormat="1" ht="20.100000000000001" customHeight="1" x14ac:dyDescent="0.2">
      <c r="B821" s="3"/>
      <c r="C821" s="3"/>
      <c r="D821" s="135"/>
      <c r="E821" s="135"/>
      <c r="F821" s="135"/>
      <c r="G821" s="135"/>
      <c r="H821" s="136"/>
      <c r="I821" s="135"/>
    </row>
    <row r="822" spans="2:9" s="117" customFormat="1" ht="20.100000000000001" customHeight="1" x14ac:dyDescent="0.2">
      <c r="B822" s="3"/>
      <c r="C822" s="3"/>
      <c r="D822" s="135"/>
      <c r="E822" s="135"/>
      <c r="F822" s="135"/>
      <c r="G822" s="135"/>
      <c r="H822" s="136"/>
      <c r="I822" s="135"/>
    </row>
    <row r="823" spans="2:9" s="117" customFormat="1" ht="20.100000000000001" customHeight="1" x14ac:dyDescent="0.2">
      <c r="B823" s="3"/>
      <c r="C823" s="3"/>
      <c r="D823" s="135"/>
      <c r="E823" s="135"/>
      <c r="F823" s="135"/>
      <c r="G823" s="135"/>
      <c r="H823" s="136"/>
      <c r="I823" s="135"/>
    </row>
    <row r="824" spans="2:9" s="117" customFormat="1" ht="20.100000000000001" customHeight="1" x14ac:dyDescent="0.2">
      <c r="B824" s="3"/>
      <c r="C824" s="3"/>
      <c r="D824" s="135"/>
      <c r="E824" s="135"/>
      <c r="F824" s="135"/>
      <c r="G824" s="135"/>
      <c r="H824" s="136"/>
      <c r="I824" s="135"/>
    </row>
    <row r="825" spans="2:9" s="117" customFormat="1" ht="20.100000000000001" customHeight="1" x14ac:dyDescent="0.2">
      <c r="B825" s="3"/>
      <c r="C825" s="3"/>
      <c r="D825" s="135"/>
      <c r="E825" s="135"/>
      <c r="F825" s="135"/>
      <c r="G825" s="135"/>
      <c r="H825" s="136"/>
      <c r="I825" s="135"/>
    </row>
    <row r="826" spans="2:9" s="117" customFormat="1" ht="20.100000000000001" customHeight="1" x14ac:dyDescent="0.2">
      <c r="B826" s="3"/>
      <c r="C826" s="3"/>
      <c r="D826" s="135"/>
      <c r="E826" s="135"/>
      <c r="F826" s="135"/>
      <c r="G826" s="135"/>
      <c r="H826" s="136"/>
      <c r="I826" s="135"/>
    </row>
    <row r="827" spans="2:9" s="117" customFormat="1" ht="20.100000000000001" customHeight="1" x14ac:dyDescent="0.2">
      <c r="B827" s="3"/>
      <c r="C827" s="3"/>
      <c r="D827" s="135"/>
      <c r="E827" s="135"/>
      <c r="F827" s="135"/>
      <c r="G827" s="135"/>
      <c r="H827" s="136"/>
      <c r="I827" s="135"/>
    </row>
    <row r="828" spans="2:9" s="117" customFormat="1" ht="20.100000000000001" customHeight="1" x14ac:dyDescent="0.2">
      <c r="B828" s="3"/>
      <c r="C828" s="3"/>
      <c r="D828" s="135"/>
      <c r="E828" s="135"/>
      <c r="F828" s="135"/>
      <c r="G828" s="135"/>
      <c r="H828" s="136"/>
      <c r="I828" s="135"/>
    </row>
    <row r="829" spans="2:9" s="117" customFormat="1" ht="20.100000000000001" customHeight="1" x14ac:dyDescent="0.2">
      <c r="B829" s="3"/>
      <c r="C829" s="3"/>
      <c r="D829" s="135"/>
      <c r="E829" s="135"/>
      <c r="F829" s="135"/>
      <c r="G829" s="135"/>
      <c r="H829" s="136"/>
      <c r="I829" s="135"/>
    </row>
    <row r="830" spans="2:9" s="117" customFormat="1" ht="20.100000000000001" customHeight="1" x14ac:dyDescent="0.2">
      <c r="B830" s="3"/>
      <c r="C830" s="3"/>
      <c r="D830" s="135"/>
      <c r="E830" s="135"/>
      <c r="F830" s="135"/>
      <c r="G830" s="135"/>
      <c r="H830" s="136"/>
      <c r="I830" s="135"/>
    </row>
    <row r="831" spans="2:9" s="117" customFormat="1" ht="20.100000000000001" customHeight="1" x14ac:dyDescent="0.2">
      <c r="B831" s="3"/>
      <c r="C831" s="3"/>
      <c r="D831" s="135"/>
      <c r="E831" s="135"/>
      <c r="F831" s="135"/>
      <c r="G831" s="135"/>
      <c r="H831" s="136"/>
      <c r="I831" s="135"/>
    </row>
    <row r="832" spans="2:9" s="117" customFormat="1" ht="20.100000000000001" customHeight="1" x14ac:dyDescent="0.2">
      <c r="B832" s="3"/>
      <c r="C832" s="3"/>
      <c r="D832" s="135"/>
      <c r="E832" s="135"/>
      <c r="F832" s="135"/>
      <c r="G832" s="135"/>
      <c r="H832" s="136"/>
      <c r="I832" s="135"/>
    </row>
    <row r="833" spans="2:9" s="117" customFormat="1" ht="20.100000000000001" customHeight="1" x14ac:dyDescent="0.2">
      <c r="B833" s="3"/>
      <c r="C833" s="3"/>
      <c r="D833" s="135"/>
      <c r="E833" s="135"/>
      <c r="F833" s="135"/>
      <c r="G833" s="135"/>
      <c r="H833" s="136"/>
      <c r="I833" s="135"/>
    </row>
    <row r="834" spans="2:9" s="117" customFormat="1" ht="20.100000000000001" customHeight="1" x14ac:dyDescent="0.2">
      <c r="B834" s="3"/>
      <c r="C834" s="3"/>
      <c r="D834" s="135"/>
      <c r="E834" s="135"/>
      <c r="F834" s="135"/>
      <c r="G834" s="135"/>
      <c r="H834" s="136"/>
      <c r="I834" s="135"/>
    </row>
    <row r="835" spans="2:9" s="117" customFormat="1" ht="20.100000000000001" customHeight="1" x14ac:dyDescent="0.2">
      <c r="B835" s="3"/>
      <c r="C835" s="3"/>
      <c r="D835" s="135"/>
      <c r="E835" s="135"/>
      <c r="F835" s="135"/>
      <c r="G835" s="135"/>
      <c r="H835" s="136"/>
      <c r="I835" s="135"/>
    </row>
    <row r="836" spans="2:9" s="117" customFormat="1" ht="20.100000000000001" customHeight="1" x14ac:dyDescent="0.2">
      <c r="B836" s="3"/>
      <c r="C836" s="3"/>
      <c r="D836" s="135"/>
      <c r="E836" s="135"/>
      <c r="F836" s="135"/>
      <c r="G836" s="135"/>
      <c r="H836" s="136"/>
      <c r="I836" s="135"/>
    </row>
    <row r="837" spans="2:9" s="117" customFormat="1" ht="20.100000000000001" customHeight="1" x14ac:dyDescent="0.2">
      <c r="B837" s="3"/>
      <c r="C837" s="3"/>
      <c r="D837" s="135"/>
      <c r="E837" s="135"/>
      <c r="F837" s="135"/>
      <c r="G837" s="135"/>
      <c r="H837" s="136"/>
      <c r="I837" s="135"/>
    </row>
    <row r="838" spans="2:9" s="117" customFormat="1" ht="20.100000000000001" customHeight="1" x14ac:dyDescent="0.2">
      <c r="B838" s="3"/>
      <c r="C838" s="3"/>
      <c r="D838" s="135"/>
      <c r="E838" s="135"/>
      <c r="F838" s="135"/>
      <c r="G838" s="135"/>
      <c r="H838" s="136"/>
      <c r="I838" s="135"/>
    </row>
    <row r="839" spans="2:9" s="117" customFormat="1" ht="20.100000000000001" customHeight="1" x14ac:dyDescent="0.2">
      <c r="B839" s="3"/>
      <c r="C839" s="3"/>
      <c r="D839" s="135"/>
      <c r="E839" s="135"/>
      <c r="F839" s="135"/>
      <c r="G839" s="135"/>
      <c r="H839" s="136"/>
      <c r="I839" s="135"/>
    </row>
    <row r="840" spans="2:9" s="117" customFormat="1" ht="20.100000000000001" customHeight="1" x14ac:dyDescent="0.2">
      <c r="B840" s="3"/>
      <c r="C840" s="3"/>
      <c r="D840" s="135"/>
      <c r="E840" s="135"/>
      <c r="F840" s="135"/>
      <c r="G840" s="135"/>
      <c r="H840" s="136"/>
      <c r="I840" s="135"/>
    </row>
    <row r="841" spans="2:9" s="117" customFormat="1" ht="20.100000000000001" customHeight="1" x14ac:dyDescent="0.2">
      <c r="B841" s="3"/>
      <c r="C841" s="3"/>
      <c r="D841" s="135"/>
      <c r="E841" s="135"/>
      <c r="F841" s="135"/>
      <c r="G841" s="135"/>
      <c r="H841" s="136"/>
      <c r="I841" s="135"/>
    </row>
    <row r="842" spans="2:9" s="117" customFormat="1" ht="20.100000000000001" customHeight="1" x14ac:dyDescent="0.2">
      <c r="B842" s="3"/>
      <c r="C842" s="3"/>
      <c r="D842" s="135"/>
      <c r="E842" s="135"/>
      <c r="F842" s="135"/>
      <c r="G842" s="135"/>
      <c r="H842" s="136"/>
      <c r="I842" s="135"/>
    </row>
    <row r="843" spans="2:9" s="117" customFormat="1" ht="20.100000000000001" customHeight="1" x14ac:dyDescent="0.2">
      <c r="B843" s="3"/>
      <c r="C843" s="3"/>
      <c r="D843" s="135"/>
      <c r="E843" s="135"/>
      <c r="F843" s="135"/>
      <c r="G843" s="135"/>
      <c r="H843" s="136"/>
      <c r="I843" s="135"/>
    </row>
    <row r="844" spans="2:9" s="117" customFormat="1" ht="20.100000000000001" customHeight="1" x14ac:dyDescent="0.2">
      <c r="B844" s="3"/>
      <c r="C844" s="3"/>
      <c r="D844" s="135"/>
      <c r="E844" s="135"/>
      <c r="F844" s="135"/>
      <c r="G844" s="135"/>
      <c r="H844" s="136"/>
      <c r="I844" s="135"/>
    </row>
    <row r="845" spans="2:9" s="117" customFormat="1" ht="20.100000000000001" customHeight="1" x14ac:dyDescent="0.2">
      <c r="B845" s="3"/>
      <c r="C845" s="3"/>
      <c r="D845" s="135"/>
      <c r="E845" s="135"/>
      <c r="F845" s="135"/>
      <c r="G845" s="135"/>
      <c r="H845" s="136"/>
      <c r="I845" s="135"/>
    </row>
    <row r="846" spans="2:9" s="117" customFormat="1" ht="20.100000000000001" customHeight="1" x14ac:dyDescent="0.2">
      <c r="B846" s="3"/>
      <c r="C846" s="3"/>
      <c r="D846" s="135"/>
      <c r="E846" s="135"/>
      <c r="F846" s="135"/>
      <c r="G846" s="135"/>
      <c r="H846" s="136"/>
      <c r="I846" s="135"/>
    </row>
    <row r="847" spans="2:9" s="117" customFormat="1" ht="20.100000000000001" customHeight="1" x14ac:dyDescent="0.2">
      <c r="B847" s="3"/>
      <c r="C847" s="3"/>
      <c r="D847" s="135"/>
      <c r="E847" s="135"/>
      <c r="F847" s="135"/>
      <c r="G847" s="135"/>
      <c r="H847" s="136"/>
      <c r="I847" s="135"/>
    </row>
    <row r="848" spans="2:9" s="117" customFormat="1" ht="20.100000000000001" customHeight="1" x14ac:dyDescent="0.2">
      <c r="B848" s="3"/>
      <c r="C848" s="3"/>
      <c r="D848" s="135"/>
      <c r="E848" s="135"/>
      <c r="F848" s="135"/>
      <c r="G848" s="135"/>
      <c r="H848" s="136"/>
      <c r="I848" s="135"/>
    </row>
    <row r="849" spans="2:9" s="117" customFormat="1" ht="20.100000000000001" customHeight="1" x14ac:dyDescent="0.2">
      <c r="B849" s="3"/>
      <c r="C849" s="3"/>
      <c r="D849" s="135"/>
      <c r="E849" s="135"/>
      <c r="F849" s="135"/>
      <c r="G849" s="135"/>
      <c r="H849" s="136"/>
      <c r="I849" s="135"/>
    </row>
    <row r="850" spans="2:9" s="117" customFormat="1" ht="20.100000000000001" customHeight="1" x14ac:dyDescent="0.2">
      <c r="B850" s="3"/>
      <c r="C850" s="3"/>
      <c r="D850" s="135"/>
      <c r="E850" s="135"/>
      <c r="F850" s="135"/>
      <c r="G850" s="135"/>
      <c r="H850" s="136"/>
      <c r="I850" s="135"/>
    </row>
    <row r="851" spans="2:9" s="117" customFormat="1" ht="20.100000000000001" customHeight="1" x14ac:dyDescent="0.2">
      <c r="B851" s="3"/>
      <c r="C851" s="3"/>
      <c r="D851" s="135"/>
      <c r="E851" s="135"/>
      <c r="F851" s="135"/>
      <c r="G851" s="135"/>
      <c r="H851" s="136"/>
      <c r="I851" s="135"/>
    </row>
    <row r="852" spans="2:9" s="117" customFormat="1" ht="20.100000000000001" customHeight="1" x14ac:dyDescent="0.2">
      <c r="B852" s="3"/>
      <c r="C852" s="3"/>
      <c r="D852" s="135"/>
      <c r="E852" s="135"/>
      <c r="F852" s="135"/>
      <c r="G852" s="135"/>
      <c r="H852" s="136"/>
      <c r="I852" s="135"/>
    </row>
    <row r="853" spans="2:9" s="117" customFormat="1" ht="20.100000000000001" customHeight="1" x14ac:dyDescent="0.2">
      <c r="B853" s="3"/>
      <c r="C853" s="3"/>
      <c r="D853" s="135"/>
      <c r="E853" s="135"/>
      <c r="F853" s="135"/>
      <c r="G853" s="135"/>
      <c r="H853" s="136"/>
      <c r="I853" s="135"/>
    </row>
    <row r="854" spans="2:9" s="117" customFormat="1" ht="20.100000000000001" customHeight="1" x14ac:dyDescent="0.2">
      <c r="B854" s="3"/>
      <c r="C854" s="3"/>
      <c r="D854" s="135"/>
      <c r="E854" s="135"/>
      <c r="F854" s="135"/>
      <c r="G854" s="135"/>
      <c r="H854" s="136"/>
      <c r="I854" s="135"/>
    </row>
    <row r="855" spans="2:9" s="117" customFormat="1" ht="20.100000000000001" customHeight="1" x14ac:dyDescent="0.2">
      <c r="B855" s="3"/>
      <c r="C855" s="3"/>
      <c r="D855" s="135"/>
      <c r="E855" s="135"/>
      <c r="F855" s="135"/>
      <c r="G855" s="135"/>
      <c r="H855" s="136"/>
      <c r="I855" s="135"/>
    </row>
    <row r="856" spans="2:9" s="117" customFormat="1" ht="20.100000000000001" customHeight="1" x14ac:dyDescent="0.2">
      <c r="B856" s="3"/>
      <c r="C856" s="3"/>
      <c r="D856" s="135"/>
      <c r="E856" s="135"/>
      <c r="F856" s="135"/>
      <c r="G856" s="135"/>
      <c r="H856" s="136"/>
      <c r="I856" s="135"/>
    </row>
    <row r="857" spans="2:9" s="117" customFormat="1" ht="20.100000000000001" customHeight="1" x14ac:dyDescent="0.2">
      <c r="B857" s="3"/>
      <c r="C857" s="3"/>
      <c r="D857" s="135"/>
      <c r="E857" s="135"/>
      <c r="F857" s="135"/>
      <c r="G857" s="135"/>
      <c r="H857" s="136"/>
      <c r="I857" s="135"/>
    </row>
    <row r="858" spans="2:9" s="117" customFormat="1" ht="20.100000000000001" customHeight="1" x14ac:dyDescent="0.2">
      <c r="B858" s="3"/>
      <c r="C858" s="3"/>
      <c r="D858" s="135"/>
      <c r="E858" s="135"/>
      <c r="F858" s="135"/>
      <c r="G858" s="135"/>
      <c r="H858" s="136"/>
      <c r="I858" s="135"/>
    </row>
    <row r="859" spans="2:9" s="117" customFormat="1" ht="20.100000000000001" customHeight="1" x14ac:dyDescent="0.2">
      <c r="B859" s="3"/>
      <c r="C859" s="3"/>
      <c r="D859" s="135"/>
      <c r="E859" s="135"/>
      <c r="F859" s="135"/>
      <c r="G859" s="135"/>
      <c r="H859" s="136"/>
      <c r="I859" s="135"/>
    </row>
    <row r="860" spans="2:9" s="117" customFormat="1" ht="20.100000000000001" customHeight="1" x14ac:dyDescent="0.2">
      <c r="B860" s="3"/>
      <c r="C860" s="3"/>
      <c r="D860" s="135"/>
      <c r="E860" s="135"/>
      <c r="F860" s="135"/>
      <c r="G860" s="135"/>
      <c r="H860" s="136"/>
      <c r="I860" s="135"/>
    </row>
    <row r="861" spans="2:9" s="117" customFormat="1" ht="20.100000000000001" customHeight="1" x14ac:dyDescent="0.2">
      <c r="B861" s="3"/>
      <c r="C861" s="3"/>
      <c r="D861" s="135"/>
      <c r="E861" s="135"/>
      <c r="F861" s="135"/>
      <c r="G861" s="135"/>
      <c r="H861" s="136"/>
      <c r="I861" s="135"/>
    </row>
    <row r="862" spans="2:9" s="117" customFormat="1" ht="20.100000000000001" customHeight="1" x14ac:dyDescent="0.2">
      <c r="B862" s="3"/>
      <c r="C862" s="3"/>
      <c r="D862" s="135"/>
      <c r="E862" s="135"/>
      <c r="F862" s="135"/>
      <c r="G862" s="135"/>
      <c r="H862" s="136"/>
      <c r="I862" s="135"/>
    </row>
    <row r="863" spans="2:9" s="117" customFormat="1" ht="20.100000000000001" customHeight="1" x14ac:dyDescent="0.2">
      <c r="B863" s="3"/>
      <c r="C863" s="3"/>
      <c r="D863" s="135"/>
      <c r="E863" s="135"/>
      <c r="F863" s="135"/>
      <c r="G863" s="135"/>
      <c r="H863" s="136"/>
      <c r="I863" s="135"/>
    </row>
    <row r="864" spans="2:9" s="117" customFormat="1" ht="20.100000000000001" customHeight="1" x14ac:dyDescent="0.2">
      <c r="B864" s="3"/>
      <c r="C864" s="3"/>
      <c r="D864" s="135"/>
      <c r="E864" s="135"/>
      <c r="F864" s="135"/>
      <c r="G864" s="135"/>
      <c r="H864" s="136"/>
      <c r="I864" s="135"/>
    </row>
    <row r="865" spans="2:9" s="117" customFormat="1" ht="20.100000000000001" customHeight="1" x14ac:dyDescent="0.2">
      <c r="B865" s="3"/>
      <c r="C865" s="3"/>
      <c r="D865" s="135"/>
      <c r="E865" s="135"/>
      <c r="F865" s="135"/>
      <c r="G865" s="135"/>
      <c r="H865" s="136"/>
      <c r="I865" s="135"/>
    </row>
    <row r="866" spans="2:9" s="117" customFormat="1" ht="20.100000000000001" customHeight="1" x14ac:dyDescent="0.2">
      <c r="B866" s="3"/>
      <c r="C866" s="3"/>
      <c r="D866" s="135"/>
      <c r="E866" s="135"/>
      <c r="F866" s="135"/>
      <c r="G866" s="135"/>
      <c r="H866" s="136"/>
      <c r="I866" s="135"/>
    </row>
    <row r="867" spans="2:9" s="117" customFormat="1" ht="20.100000000000001" customHeight="1" x14ac:dyDescent="0.2">
      <c r="B867" s="3"/>
      <c r="C867" s="3"/>
      <c r="D867" s="135"/>
      <c r="E867" s="135"/>
      <c r="F867" s="135"/>
      <c r="G867" s="135"/>
      <c r="H867" s="136"/>
      <c r="I867" s="135"/>
    </row>
    <row r="868" spans="2:9" s="117" customFormat="1" ht="20.100000000000001" customHeight="1" x14ac:dyDescent="0.2">
      <c r="B868" s="3"/>
      <c r="C868" s="3"/>
      <c r="D868" s="135"/>
      <c r="E868" s="135"/>
      <c r="F868" s="135"/>
      <c r="G868" s="135"/>
      <c r="H868" s="136"/>
      <c r="I868" s="135"/>
    </row>
    <row r="869" spans="2:9" s="117" customFormat="1" ht="20.100000000000001" customHeight="1" x14ac:dyDescent="0.2">
      <c r="B869" s="3"/>
      <c r="C869" s="3"/>
      <c r="D869" s="135"/>
      <c r="E869" s="135"/>
      <c r="F869" s="135"/>
      <c r="G869" s="135"/>
      <c r="H869" s="136"/>
      <c r="I869" s="135"/>
    </row>
    <row r="870" spans="2:9" s="117" customFormat="1" ht="20.100000000000001" customHeight="1" x14ac:dyDescent="0.2">
      <c r="B870" s="3"/>
      <c r="C870" s="3"/>
      <c r="D870" s="135"/>
      <c r="E870" s="135"/>
      <c r="F870" s="135"/>
      <c r="G870" s="135"/>
      <c r="H870" s="136"/>
      <c r="I870" s="135"/>
    </row>
    <row r="871" spans="2:9" s="117" customFormat="1" ht="20.100000000000001" customHeight="1" x14ac:dyDescent="0.2">
      <c r="B871" s="3"/>
      <c r="C871" s="3"/>
      <c r="D871" s="135"/>
      <c r="E871" s="135"/>
      <c r="F871" s="135"/>
      <c r="G871" s="135"/>
      <c r="H871" s="136"/>
      <c r="I871" s="135"/>
    </row>
    <row r="872" spans="2:9" s="117" customFormat="1" ht="20.100000000000001" customHeight="1" x14ac:dyDescent="0.2">
      <c r="B872" s="3"/>
      <c r="C872" s="3"/>
      <c r="D872" s="135"/>
      <c r="E872" s="135"/>
      <c r="F872" s="135"/>
      <c r="G872" s="135"/>
      <c r="H872" s="136"/>
      <c r="I872" s="135"/>
    </row>
    <row r="873" spans="2:9" s="117" customFormat="1" ht="20.100000000000001" customHeight="1" x14ac:dyDescent="0.2">
      <c r="B873" s="3"/>
      <c r="C873" s="3"/>
      <c r="D873" s="135"/>
      <c r="E873" s="135"/>
      <c r="F873" s="135"/>
      <c r="G873" s="135"/>
      <c r="H873" s="136"/>
      <c r="I873" s="135"/>
    </row>
    <row r="874" spans="2:9" s="117" customFormat="1" ht="20.100000000000001" customHeight="1" x14ac:dyDescent="0.2">
      <c r="B874" s="3"/>
      <c r="C874" s="3"/>
      <c r="D874" s="135"/>
      <c r="E874" s="135"/>
      <c r="F874" s="135"/>
      <c r="G874" s="135"/>
      <c r="H874" s="136"/>
      <c r="I874" s="135"/>
    </row>
    <row r="875" spans="2:9" s="117" customFormat="1" ht="20.100000000000001" customHeight="1" x14ac:dyDescent="0.2">
      <c r="B875" s="3"/>
      <c r="C875" s="3"/>
      <c r="D875" s="135"/>
      <c r="E875" s="135"/>
      <c r="F875" s="135"/>
      <c r="G875" s="135"/>
      <c r="H875" s="136"/>
      <c r="I875" s="135"/>
    </row>
    <row r="876" spans="2:9" s="117" customFormat="1" ht="20.100000000000001" customHeight="1" x14ac:dyDescent="0.2">
      <c r="B876" s="3"/>
      <c r="C876" s="3"/>
      <c r="D876" s="135"/>
      <c r="E876" s="135"/>
      <c r="F876" s="135"/>
      <c r="G876" s="135"/>
      <c r="H876" s="136"/>
      <c r="I876" s="135"/>
    </row>
    <row r="877" spans="2:9" s="117" customFormat="1" ht="20.100000000000001" customHeight="1" x14ac:dyDescent="0.2">
      <c r="B877" s="3"/>
      <c r="C877" s="3"/>
      <c r="D877" s="135"/>
      <c r="E877" s="135"/>
      <c r="F877" s="135"/>
      <c r="G877" s="135"/>
      <c r="H877" s="136"/>
      <c r="I877" s="135"/>
    </row>
    <row r="878" spans="2:9" s="117" customFormat="1" ht="20.100000000000001" customHeight="1" x14ac:dyDescent="0.2">
      <c r="B878" s="3"/>
      <c r="C878" s="3"/>
      <c r="D878" s="135"/>
      <c r="E878" s="135"/>
      <c r="F878" s="135"/>
      <c r="G878" s="135"/>
      <c r="H878" s="136"/>
      <c r="I878" s="135"/>
    </row>
    <row r="879" spans="2:9" s="117" customFormat="1" ht="20.100000000000001" customHeight="1" x14ac:dyDescent="0.2">
      <c r="B879" s="3"/>
      <c r="C879" s="3"/>
      <c r="D879" s="135"/>
      <c r="E879" s="135"/>
      <c r="F879" s="135"/>
      <c r="G879" s="135"/>
      <c r="H879" s="136"/>
      <c r="I879" s="135"/>
    </row>
    <row r="880" spans="2:9" s="117" customFormat="1" ht="20.100000000000001" customHeight="1" x14ac:dyDescent="0.2">
      <c r="B880" s="3"/>
      <c r="C880" s="3"/>
      <c r="D880" s="135"/>
      <c r="E880" s="135"/>
      <c r="F880" s="135"/>
      <c r="G880" s="135"/>
      <c r="H880" s="136"/>
      <c r="I880" s="135"/>
    </row>
    <row r="881" spans="2:9" s="117" customFormat="1" ht="20.100000000000001" customHeight="1" x14ac:dyDescent="0.2">
      <c r="B881" s="3"/>
      <c r="C881" s="3"/>
      <c r="D881" s="135"/>
      <c r="E881" s="135"/>
      <c r="F881" s="135"/>
      <c r="G881" s="135"/>
      <c r="H881" s="136"/>
      <c r="I881" s="135"/>
    </row>
    <row r="882" spans="2:9" s="117" customFormat="1" ht="20.100000000000001" customHeight="1" x14ac:dyDescent="0.2">
      <c r="B882" s="3"/>
      <c r="C882" s="3"/>
      <c r="D882" s="135"/>
      <c r="E882" s="135"/>
      <c r="F882" s="135"/>
      <c r="G882" s="135"/>
      <c r="H882" s="136"/>
      <c r="I882" s="135"/>
    </row>
    <row r="883" spans="2:9" s="117" customFormat="1" ht="20.100000000000001" customHeight="1" x14ac:dyDescent="0.2">
      <c r="B883" s="3"/>
      <c r="C883" s="3"/>
      <c r="D883" s="135"/>
      <c r="E883" s="135"/>
      <c r="F883" s="135"/>
      <c r="G883" s="135"/>
      <c r="H883" s="136"/>
      <c r="I883" s="135"/>
    </row>
    <row r="884" spans="2:9" s="117" customFormat="1" ht="20.100000000000001" customHeight="1" x14ac:dyDescent="0.2">
      <c r="B884" s="3"/>
      <c r="C884" s="3"/>
      <c r="D884" s="135"/>
      <c r="E884" s="135"/>
      <c r="F884" s="135"/>
      <c r="G884" s="135"/>
      <c r="H884" s="136"/>
      <c r="I884" s="135"/>
    </row>
    <row r="885" spans="2:9" s="117" customFormat="1" ht="20.100000000000001" customHeight="1" x14ac:dyDescent="0.2">
      <c r="B885" s="3"/>
      <c r="C885" s="3"/>
      <c r="D885" s="135"/>
      <c r="E885" s="135"/>
      <c r="F885" s="135"/>
      <c r="G885" s="135"/>
      <c r="H885" s="136"/>
      <c r="I885" s="135"/>
    </row>
    <row r="886" spans="2:9" s="117" customFormat="1" ht="20.100000000000001" customHeight="1" x14ac:dyDescent="0.2">
      <c r="B886" s="3"/>
      <c r="C886" s="3"/>
      <c r="D886" s="135"/>
      <c r="E886" s="135"/>
      <c r="F886" s="135"/>
      <c r="G886" s="135"/>
      <c r="H886" s="136"/>
      <c r="I886" s="135"/>
    </row>
    <row r="887" spans="2:9" s="117" customFormat="1" ht="20.100000000000001" customHeight="1" x14ac:dyDescent="0.2">
      <c r="B887" s="3"/>
      <c r="C887" s="3"/>
      <c r="D887" s="135"/>
      <c r="E887" s="135"/>
      <c r="F887" s="135"/>
      <c r="G887" s="135"/>
      <c r="H887" s="136"/>
      <c r="I887" s="135"/>
    </row>
    <row r="888" spans="2:9" s="117" customFormat="1" ht="20.100000000000001" customHeight="1" x14ac:dyDescent="0.2">
      <c r="B888" s="3"/>
      <c r="C888" s="3"/>
      <c r="D888" s="135"/>
      <c r="E888" s="135"/>
      <c r="F888" s="135"/>
      <c r="G888" s="135"/>
      <c r="H888" s="136"/>
      <c r="I888" s="135"/>
    </row>
    <row r="889" spans="2:9" s="117" customFormat="1" ht="20.100000000000001" customHeight="1" x14ac:dyDescent="0.2">
      <c r="B889" s="3"/>
      <c r="C889" s="3"/>
      <c r="D889" s="135"/>
      <c r="E889" s="135"/>
      <c r="F889" s="135"/>
      <c r="G889" s="135"/>
      <c r="H889" s="136"/>
      <c r="I889" s="135"/>
    </row>
    <row r="890" spans="2:9" s="117" customFormat="1" ht="20.100000000000001" customHeight="1" x14ac:dyDescent="0.2">
      <c r="B890" s="3"/>
      <c r="C890" s="3"/>
      <c r="D890" s="135"/>
      <c r="E890" s="135"/>
      <c r="F890" s="135"/>
      <c r="G890" s="135"/>
      <c r="H890" s="136"/>
      <c r="I890" s="135"/>
    </row>
    <row r="891" spans="2:9" s="117" customFormat="1" ht="20.100000000000001" customHeight="1" x14ac:dyDescent="0.2">
      <c r="B891" s="3"/>
      <c r="C891" s="3"/>
      <c r="D891" s="135"/>
      <c r="E891" s="135"/>
      <c r="F891" s="135"/>
      <c r="G891" s="135"/>
      <c r="H891" s="136"/>
      <c r="I891" s="135"/>
    </row>
    <row r="892" spans="2:9" s="117" customFormat="1" ht="20.100000000000001" customHeight="1" x14ac:dyDescent="0.2">
      <c r="B892" s="3"/>
      <c r="C892" s="3"/>
      <c r="D892" s="135"/>
      <c r="E892" s="135"/>
      <c r="F892" s="135"/>
      <c r="G892" s="135"/>
      <c r="H892" s="136"/>
      <c r="I892" s="135"/>
    </row>
    <row r="893" spans="2:9" s="117" customFormat="1" ht="20.100000000000001" customHeight="1" x14ac:dyDescent="0.2">
      <c r="B893" s="3"/>
      <c r="C893" s="3"/>
      <c r="D893" s="135"/>
      <c r="E893" s="135"/>
      <c r="F893" s="135"/>
      <c r="G893" s="135"/>
      <c r="H893" s="136"/>
      <c r="I893" s="135"/>
    </row>
    <row r="894" spans="2:9" s="117" customFormat="1" ht="20.100000000000001" customHeight="1" x14ac:dyDescent="0.2">
      <c r="B894" s="3"/>
      <c r="C894" s="3"/>
      <c r="D894" s="135"/>
      <c r="E894" s="135"/>
      <c r="F894" s="135"/>
      <c r="G894" s="135"/>
      <c r="H894" s="136"/>
      <c r="I894" s="135"/>
    </row>
    <row r="895" spans="2:9" s="117" customFormat="1" ht="20.100000000000001" customHeight="1" x14ac:dyDescent="0.2">
      <c r="B895" s="3"/>
      <c r="C895" s="3"/>
      <c r="D895" s="135"/>
      <c r="E895" s="135"/>
      <c r="F895" s="135"/>
      <c r="G895" s="135"/>
      <c r="H895" s="136"/>
      <c r="I895" s="135"/>
    </row>
    <row r="896" spans="2:9" s="117" customFormat="1" ht="20.100000000000001" customHeight="1" x14ac:dyDescent="0.2">
      <c r="B896" s="3"/>
      <c r="C896" s="3"/>
      <c r="D896" s="135"/>
      <c r="E896" s="135"/>
      <c r="F896" s="135"/>
      <c r="G896" s="135"/>
      <c r="H896" s="136"/>
      <c r="I896" s="135"/>
    </row>
    <row r="897" spans="2:9" s="117" customFormat="1" ht="20.100000000000001" customHeight="1" x14ac:dyDescent="0.2">
      <c r="B897" s="3"/>
      <c r="C897" s="3"/>
      <c r="D897" s="135"/>
      <c r="E897" s="135"/>
      <c r="F897" s="135"/>
      <c r="G897" s="135"/>
      <c r="H897" s="136"/>
      <c r="I897" s="135"/>
    </row>
    <row r="898" spans="2:9" s="117" customFormat="1" ht="20.100000000000001" customHeight="1" x14ac:dyDescent="0.2">
      <c r="B898" s="3"/>
      <c r="C898" s="3"/>
      <c r="D898" s="135"/>
      <c r="E898" s="135"/>
      <c r="F898" s="135"/>
      <c r="G898" s="135"/>
      <c r="H898" s="136"/>
      <c r="I898" s="135"/>
    </row>
    <row r="899" spans="2:9" s="117" customFormat="1" ht="20.100000000000001" customHeight="1" x14ac:dyDescent="0.2">
      <c r="B899" s="3"/>
      <c r="C899" s="3"/>
      <c r="D899" s="135"/>
      <c r="E899" s="135"/>
      <c r="F899" s="135"/>
      <c r="G899" s="135"/>
      <c r="H899" s="136"/>
      <c r="I899" s="135"/>
    </row>
    <row r="900" spans="2:9" s="117" customFormat="1" ht="20.100000000000001" customHeight="1" x14ac:dyDescent="0.2">
      <c r="B900" s="3"/>
      <c r="C900" s="3"/>
      <c r="D900" s="135"/>
      <c r="E900" s="135"/>
      <c r="F900" s="135"/>
      <c r="G900" s="135"/>
      <c r="H900" s="136"/>
      <c r="I900" s="135"/>
    </row>
    <row r="901" spans="2:9" s="117" customFormat="1" ht="20.100000000000001" customHeight="1" x14ac:dyDescent="0.2">
      <c r="B901" s="3"/>
      <c r="C901" s="3"/>
      <c r="D901" s="135"/>
      <c r="E901" s="135"/>
      <c r="F901" s="135"/>
      <c r="G901" s="135"/>
      <c r="H901" s="136"/>
      <c r="I901" s="135"/>
    </row>
    <row r="902" spans="2:9" s="117" customFormat="1" ht="20.100000000000001" customHeight="1" x14ac:dyDescent="0.2">
      <c r="B902" s="3"/>
      <c r="C902" s="3"/>
      <c r="D902" s="135"/>
      <c r="E902" s="135"/>
      <c r="F902" s="135"/>
      <c r="G902" s="135"/>
      <c r="H902" s="136"/>
      <c r="I902" s="135"/>
    </row>
    <row r="903" spans="2:9" s="117" customFormat="1" ht="20.100000000000001" customHeight="1" x14ac:dyDescent="0.2">
      <c r="B903" s="3"/>
      <c r="C903" s="3"/>
      <c r="D903" s="135"/>
      <c r="E903" s="135"/>
      <c r="F903" s="135"/>
      <c r="G903" s="135"/>
      <c r="H903" s="136"/>
      <c r="I903" s="135"/>
    </row>
    <row r="904" spans="2:9" s="117" customFormat="1" ht="20.100000000000001" customHeight="1" x14ac:dyDescent="0.2">
      <c r="B904" s="3"/>
      <c r="C904" s="3"/>
      <c r="D904" s="135"/>
      <c r="E904" s="135"/>
      <c r="F904" s="135"/>
      <c r="G904" s="135"/>
      <c r="H904" s="136"/>
      <c r="I904" s="135"/>
    </row>
    <row r="905" spans="2:9" s="117" customFormat="1" ht="20.100000000000001" customHeight="1" x14ac:dyDescent="0.2">
      <c r="B905" s="3"/>
      <c r="C905" s="3"/>
      <c r="D905" s="135"/>
      <c r="E905" s="135"/>
      <c r="F905" s="135"/>
      <c r="G905" s="135"/>
      <c r="H905" s="136"/>
      <c r="I905" s="135"/>
    </row>
    <row r="906" spans="2:9" s="117" customFormat="1" ht="20.100000000000001" customHeight="1" x14ac:dyDescent="0.2">
      <c r="B906" s="3"/>
      <c r="C906" s="3"/>
      <c r="D906" s="135"/>
      <c r="E906" s="135"/>
      <c r="F906" s="135"/>
      <c r="G906" s="135"/>
      <c r="H906" s="136"/>
      <c r="I906" s="135"/>
    </row>
    <row r="907" spans="2:9" s="117" customFormat="1" ht="20.100000000000001" customHeight="1" x14ac:dyDescent="0.2">
      <c r="B907" s="3"/>
      <c r="C907" s="3"/>
      <c r="D907" s="135"/>
      <c r="E907" s="135"/>
      <c r="F907" s="135"/>
      <c r="G907" s="135"/>
      <c r="H907" s="136"/>
      <c r="I907" s="135"/>
    </row>
    <row r="908" spans="2:9" s="117" customFormat="1" ht="20.100000000000001" customHeight="1" x14ac:dyDescent="0.2">
      <c r="B908" s="3"/>
      <c r="C908" s="3"/>
      <c r="D908" s="135"/>
      <c r="E908" s="135"/>
      <c r="F908" s="135"/>
      <c r="G908" s="135"/>
      <c r="H908" s="136"/>
      <c r="I908" s="135"/>
    </row>
    <row r="909" spans="2:9" s="117" customFormat="1" ht="20.100000000000001" customHeight="1" x14ac:dyDescent="0.2">
      <c r="B909" s="3"/>
      <c r="C909" s="3"/>
      <c r="D909" s="135"/>
      <c r="E909" s="135"/>
      <c r="F909" s="135"/>
      <c r="G909" s="135"/>
      <c r="H909" s="136"/>
      <c r="I909" s="135"/>
    </row>
    <row r="910" spans="2:9" s="117" customFormat="1" ht="20.100000000000001" customHeight="1" x14ac:dyDescent="0.2">
      <c r="B910" s="3"/>
      <c r="C910" s="3"/>
      <c r="D910" s="135"/>
      <c r="E910" s="135"/>
      <c r="F910" s="135"/>
      <c r="G910" s="135"/>
      <c r="H910" s="136"/>
      <c r="I910" s="135"/>
    </row>
    <row r="911" spans="2:9" s="117" customFormat="1" ht="20.100000000000001" customHeight="1" x14ac:dyDescent="0.2">
      <c r="B911" s="3"/>
      <c r="C911" s="3"/>
      <c r="D911" s="135"/>
      <c r="E911" s="135"/>
      <c r="F911" s="135"/>
      <c r="G911" s="135"/>
      <c r="H911" s="136"/>
      <c r="I911" s="135"/>
    </row>
    <row r="912" spans="2:9" s="117" customFormat="1" ht="20.100000000000001" customHeight="1" x14ac:dyDescent="0.2">
      <c r="B912" s="3"/>
      <c r="C912" s="3"/>
      <c r="D912" s="135"/>
      <c r="E912" s="135"/>
      <c r="F912" s="135"/>
      <c r="G912" s="135"/>
      <c r="H912" s="136"/>
      <c r="I912" s="135"/>
    </row>
    <row r="913" spans="2:9" s="117" customFormat="1" ht="20.100000000000001" customHeight="1" x14ac:dyDescent="0.2">
      <c r="B913" s="3"/>
      <c r="C913" s="3"/>
      <c r="D913" s="135"/>
      <c r="E913" s="135"/>
      <c r="F913" s="135"/>
      <c r="G913" s="135"/>
      <c r="H913" s="136"/>
      <c r="I913" s="135"/>
    </row>
    <row r="914" spans="2:9" s="117" customFormat="1" ht="20.100000000000001" customHeight="1" x14ac:dyDescent="0.2">
      <c r="B914" s="3"/>
      <c r="C914" s="3"/>
      <c r="D914" s="135"/>
      <c r="E914" s="135"/>
      <c r="F914" s="135"/>
      <c r="G914" s="135"/>
      <c r="H914" s="136"/>
      <c r="I914" s="135"/>
    </row>
    <row r="915" spans="2:9" s="117" customFormat="1" ht="20.100000000000001" customHeight="1" x14ac:dyDescent="0.2">
      <c r="B915" s="3"/>
      <c r="C915" s="3"/>
      <c r="D915" s="135"/>
      <c r="E915" s="135"/>
      <c r="F915" s="135"/>
      <c r="G915" s="135"/>
      <c r="H915" s="136"/>
      <c r="I915" s="135"/>
    </row>
    <row r="916" spans="2:9" s="117" customFormat="1" ht="20.100000000000001" customHeight="1" x14ac:dyDescent="0.2">
      <c r="B916" s="3"/>
      <c r="C916" s="3"/>
      <c r="D916" s="135"/>
      <c r="E916" s="135"/>
      <c r="F916" s="135"/>
      <c r="G916" s="135"/>
      <c r="H916" s="136"/>
      <c r="I916" s="135"/>
    </row>
    <row r="917" spans="2:9" s="117" customFormat="1" ht="20.100000000000001" customHeight="1" x14ac:dyDescent="0.2">
      <c r="B917" s="3"/>
      <c r="C917" s="3"/>
      <c r="D917" s="135"/>
      <c r="E917" s="135"/>
      <c r="F917" s="135"/>
      <c r="G917" s="135"/>
      <c r="H917" s="136"/>
      <c r="I917" s="135"/>
    </row>
    <row r="918" spans="2:9" s="117" customFormat="1" ht="20.100000000000001" customHeight="1" x14ac:dyDescent="0.2">
      <c r="B918" s="3"/>
      <c r="C918" s="3"/>
      <c r="D918" s="135"/>
      <c r="E918" s="135"/>
      <c r="F918" s="135"/>
      <c r="G918" s="135"/>
      <c r="H918" s="136"/>
      <c r="I918" s="135"/>
    </row>
    <row r="919" spans="2:9" s="117" customFormat="1" ht="20.100000000000001" customHeight="1" x14ac:dyDescent="0.2">
      <c r="B919" s="3"/>
      <c r="C919" s="3"/>
      <c r="D919" s="135"/>
      <c r="E919" s="135"/>
      <c r="F919" s="135"/>
      <c r="G919" s="135"/>
      <c r="H919" s="136"/>
      <c r="I919" s="135"/>
    </row>
    <row r="920" spans="2:9" s="117" customFormat="1" ht="20.100000000000001" customHeight="1" x14ac:dyDescent="0.2">
      <c r="B920" s="3"/>
      <c r="C920" s="3"/>
      <c r="D920" s="135"/>
      <c r="E920" s="135"/>
      <c r="F920" s="135"/>
      <c r="G920" s="135"/>
      <c r="H920" s="136"/>
      <c r="I920" s="135"/>
    </row>
    <row r="921" spans="2:9" s="117" customFormat="1" ht="20.100000000000001" customHeight="1" x14ac:dyDescent="0.2">
      <c r="B921" s="3"/>
      <c r="C921" s="3"/>
      <c r="D921" s="135"/>
      <c r="E921" s="135"/>
      <c r="F921" s="135"/>
      <c r="G921" s="135"/>
      <c r="H921" s="136"/>
      <c r="I921" s="135"/>
    </row>
    <row r="922" spans="2:9" s="117" customFormat="1" ht="20.100000000000001" customHeight="1" x14ac:dyDescent="0.2">
      <c r="B922" s="3"/>
      <c r="C922" s="3"/>
      <c r="D922" s="135"/>
      <c r="E922" s="135"/>
      <c r="F922" s="135"/>
      <c r="G922" s="135"/>
      <c r="H922" s="136"/>
      <c r="I922" s="135"/>
    </row>
    <row r="923" spans="2:9" s="117" customFormat="1" ht="20.100000000000001" customHeight="1" x14ac:dyDescent="0.2">
      <c r="B923" s="3"/>
      <c r="C923" s="3"/>
      <c r="D923" s="135"/>
      <c r="E923" s="135"/>
      <c r="F923" s="135"/>
      <c r="G923" s="135"/>
      <c r="H923" s="136"/>
      <c r="I923" s="135"/>
    </row>
    <row r="924" spans="2:9" s="117" customFormat="1" ht="20.100000000000001" customHeight="1" x14ac:dyDescent="0.2">
      <c r="B924" s="3"/>
      <c r="C924" s="3"/>
      <c r="D924" s="135"/>
      <c r="E924" s="135"/>
      <c r="F924" s="135"/>
      <c r="G924" s="135"/>
      <c r="H924" s="136"/>
      <c r="I924" s="135"/>
    </row>
    <row r="925" spans="2:9" s="117" customFormat="1" ht="20.100000000000001" customHeight="1" x14ac:dyDescent="0.2">
      <c r="B925" s="3"/>
      <c r="C925" s="3"/>
      <c r="D925" s="135"/>
      <c r="E925" s="135"/>
      <c r="F925" s="135"/>
      <c r="G925" s="135"/>
      <c r="H925" s="136"/>
      <c r="I925" s="135"/>
    </row>
    <row r="926" spans="2:9" s="117" customFormat="1" ht="20.100000000000001" customHeight="1" x14ac:dyDescent="0.2">
      <c r="B926" s="3"/>
      <c r="C926" s="3"/>
      <c r="D926" s="135"/>
      <c r="E926" s="135"/>
      <c r="F926" s="135"/>
      <c r="G926" s="135"/>
      <c r="H926" s="136"/>
      <c r="I926" s="135"/>
    </row>
    <row r="927" spans="2:9" s="117" customFormat="1" ht="20.100000000000001" customHeight="1" x14ac:dyDescent="0.2">
      <c r="B927" s="3"/>
      <c r="C927" s="3"/>
      <c r="D927" s="135"/>
      <c r="E927" s="135"/>
      <c r="F927" s="135"/>
      <c r="G927" s="135"/>
      <c r="H927" s="136"/>
      <c r="I927" s="135"/>
    </row>
    <row r="928" spans="2:9" s="117" customFormat="1" ht="20.100000000000001" customHeight="1" x14ac:dyDescent="0.2">
      <c r="B928" s="3"/>
      <c r="C928" s="3"/>
      <c r="D928" s="135"/>
      <c r="E928" s="135"/>
      <c r="F928" s="135"/>
      <c r="G928" s="135"/>
      <c r="H928" s="136"/>
      <c r="I928" s="135"/>
    </row>
    <row r="929" spans="2:9" s="117" customFormat="1" ht="20.100000000000001" customHeight="1" x14ac:dyDescent="0.2">
      <c r="B929" s="3"/>
      <c r="C929" s="3"/>
      <c r="D929" s="135"/>
      <c r="E929" s="135"/>
      <c r="F929" s="135"/>
      <c r="G929" s="135"/>
      <c r="H929" s="136"/>
      <c r="I929" s="135"/>
    </row>
    <row r="930" spans="2:9" s="117" customFormat="1" ht="20.100000000000001" customHeight="1" x14ac:dyDescent="0.2">
      <c r="B930" s="3"/>
      <c r="C930" s="3"/>
      <c r="D930" s="135"/>
      <c r="E930" s="135"/>
      <c r="F930" s="135"/>
      <c r="G930" s="135"/>
      <c r="H930" s="136"/>
      <c r="I930" s="135"/>
    </row>
    <row r="931" spans="2:9" s="117" customFormat="1" ht="20.100000000000001" customHeight="1" x14ac:dyDescent="0.2">
      <c r="B931" s="3"/>
      <c r="C931" s="3"/>
      <c r="D931" s="135"/>
      <c r="E931" s="135"/>
      <c r="F931" s="135"/>
      <c r="G931" s="135"/>
      <c r="H931" s="136"/>
      <c r="I931" s="135"/>
    </row>
    <row r="932" spans="2:9" s="117" customFormat="1" ht="20.100000000000001" customHeight="1" x14ac:dyDescent="0.2">
      <c r="B932" s="3"/>
      <c r="C932" s="3"/>
      <c r="D932" s="135"/>
      <c r="E932" s="135"/>
      <c r="F932" s="135"/>
      <c r="G932" s="135"/>
      <c r="H932" s="136"/>
      <c r="I932" s="135"/>
    </row>
    <row r="933" spans="2:9" s="117" customFormat="1" ht="20.100000000000001" customHeight="1" x14ac:dyDescent="0.2">
      <c r="B933" s="3"/>
      <c r="C933" s="3"/>
      <c r="D933" s="135"/>
      <c r="E933" s="135"/>
      <c r="F933" s="135"/>
      <c r="G933" s="135"/>
      <c r="H933" s="136"/>
      <c r="I933" s="135"/>
    </row>
    <row r="934" spans="2:9" s="117" customFormat="1" ht="20.100000000000001" customHeight="1" x14ac:dyDescent="0.2">
      <c r="B934" s="3"/>
      <c r="C934" s="3"/>
      <c r="D934" s="135"/>
      <c r="E934" s="135"/>
      <c r="F934" s="135"/>
      <c r="G934" s="135"/>
      <c r="H934" s="136"/>
      <c r="I934" s="135"/>
    </row>
    <row r="935" spans="2:9" s="117" customFormat="1" ht="20.100000000000001" customHeight="1" x14ac:dyDescent="0.2">
      <c r="B935" s="3"/>
      <c r="C935" s="3"/>
      <c r="D935" s="135"/>
      <c r="E935" s="135"/>
      <c r="F935" s="135"/>
      <c r="G935" s="135"/>
      <c r="H935" s="136"/>
      <c r="I935" s="135"/>
    </row>
    <row r="936" spans="2:9" s="117" customFormat="1" ht="20.100000000000001" customHeight="1" x14ac:dyDescent="0.2">
      <c r="B936" s="3"/>
      <c r="C936" s="3"/>
      <c r="D936" s="135"/>
      <c r="E936" s="135"/>
      <c r="F936" s="135"/>
      <c r="G936" s="135"/>
      <c r="H936" s="136"/>
      <c r="I936" s="135"/>
    </row>
    <row r="937" spans="2:9" s="117" customFormat="1" ht="20.100000000000001" customHeight="1" x14ac:dyDescent="0.2">
      <c r="B937" s="3"/>
      <c r="C937" s="3"/>
      <c r="D937" s="135"/>
      <c r="E937" s="135"/>
      <c r="F937" s="135"/>
      <c r="G937" s="135"/>
      <c r="H937" s="136"/>
      <c r="I937" s="135"/>
    </row>
    <row r="938" spans="2:9" s="117" customFormat="1" ht="20.100000000000001" customHeight="1" x14ac:dyDescent="0.2">
      <c r="B938" s="3"/>
      <c r="C938" s="3"/>
      <c r="D938" s="135"/>
      <c r="E938" s="135"/>
      <c r="F938" s="135"/>
      <c r="G938" s="135"/>
      <c r="H938" s="136"/>
      <c r="I938" s="135"/>
    </row>
    <row r="939" spans="2:9" s="117" customFormat="1" ht="20.100000000000001" customHeight="1" x14ac:dyDescent="0.2">
      <c r="B939" s="3"/>
      <c r="C939" s="3"/>
      <c r="D939" s="135"/>
      <c r="E939" s="135"/>
      <c r="F939" s="135"/>
      <c r="G939" s="135"/>
      <c r="H939" s="136"/>
      <c r="I939" s="135"/>
    </row>
    <row r="940" spans="2:9" s="117" customFormat="1" ht="20.100000000000001" customHeight="1" x14ac:dyDescent="0.2">
      <c r="B940" s="3"/>
      <c r="C940" s="3"/>
      <c r="D940" s="135"/>
      <c r="E940" s="135"/>
      <c r="F940" s="135"/>
      <c r="G940" s="135"/>
      <c r="H940" s="136"/>
      <c r="I940" s="135"/>
    </row>
    <row r="941" spans="2:9" s="117" customFormat="1" ht="20.100000000000001" customHeight="1" x14ac:dyDescent="0.2">
      <c r="B941" s="3"/>
      <c r="C941" s="3"/>
      <c r="D941" s="135"/>
      <c r="E941" s="135"/>
      <c r="F941" s="135"/>
      <c r="G941" s="135"/>
      <c r="H941" s="136"/>
      <c r="I941" s="135"/>
    </row>
    <row r="942" spans="2:9" s="117" customFormat="1" ht="20.100000000000001" customHeight="1" x14ac:dyDescent="0.2">
      <c r="B942" s="3"/>
      <c r="C942" s="3"/>
      <c r="D942" s="135"/>
      <c r="E942" s="135"/>
      <c r="F942" s="135"/>
      <c r="G942" s="135"/>
      <c r="H942" s="136"/>
      <c r="I942" s="135"/>
    </row>
    <row r="943" spans="2:9" s="117" customFormat="1" ht="20.100000000000001" customHeight="1" x14ac:dyDescent="0.2">
      <c r="B943" s="3"/>
      <c r="C943" s="3"/>
      <c r="D943" s="135"/>
      <c r="E943" s="135"/>
      <c r="F943" s="135"/>
      <c r="G943" s="135"/>
      <c r="H943" s="136"/>
      <c r="I943" s="135"/>
    </row>
    <row r="944" spans="2:9" s="117" customFormat="1" ht="20.100000000000001" customHeight="1" x14ac:dyDescent="0.2">
      <c r="B944" s="3"/>
      <c r="C944" s="3"/>
      <c r="D944" s="135"/>
      <c r="E944" s="135"/>
      <c r="F944" s="135"/>
      <c r="G944" s="135"/>
      <c r="H944" s="136"/>
      <c r="I944" s="135"/>
    </row>
    <row r="945" spans="2:9" s="117" customFormat="1" ht="20.100000000000001" customHeight="1" x14ac:dyDescent="0.2">
      <c r="B945" s="3"/>
      <c r="C945" s="3"/>
      <c r="D945" s="135"/>
      <c r="E945" s="135"/>
      <c r="F945" s="135"/>
      <c r="G945" s="135"/>
      <c r="H945" s="136"/>
      <c r="I945" s="135"/>
    </row>
    <row r="946" spans="2:9" s="117" customFormat="1" ht="20.100000000000001" customHeight="1" x14ac:dyDescent="0.2">
      <c r="B946" s="3"/>
      <c r="C946" s="3"/>
      <c r="D946" s="135"/>
      <c r="E946" s="135"/>
      <c r="F946" s="135"/>
      <c r="G946" s="135"/>
      <c r="H946" s="136"/>
      <c r="I946" s="135"/>
    </row>
    <row r="947" spans="2:9" s="117" customFormat="1" ht="20.100000000000001" customHeight="1" x14ac:dyDescent="0.2">
      <c r="B947" s="3"/>
      <c r="C947" s="3"/>
      <c r="D947" s="135"/>
      <c r="E947" s="135"/>
      <c r="F947" s="135"/>
      <c r="G947" s="135"/>
      <c r="H947" s="136"/>
      <c r="I947" s="135"/>
    </row>
    <row r="948" spans="2:9" s="117" customFormat="1" ht="20.100000000000001" customHeight="1" x14ac:dyDescent="0.2">
      <c r="B948" s="3"/>
      <c r="C948" s="3"/>
      <c r="D948" s="135"/>
      <c r="E948" s="135"/>
      <c r="F948" s="135"/>
      <c r="G948" s="135"/>
      <c r="H948" s="136"/>
      <c r="I948" s="135"/>
    </row>
    <row r="949" spans="2:9" s="117" customFormat="1" ht="20.100000000000001" customHeight="1" x14ac:dyDescent="0.2">
      <c r="B949" s="3"/>
      <c r="C949" s="3"/>
      <c r="D949" s="135"/>
      <c r="E949" s="135"/>
      <c r="F949" s="135"/>
      <c r="G949" s="135"/>
      <c r="H949" s="136"/>
      <c r="I949" s="135"/>
    </row>
    <row r="950" spans="2:9" s="117" customFormat="1" ht="20.100000000000001" customHeight="1" x14ac:dyDescent="0.2">
      <c r="B950" s="3"/>
      <c r="C950" s="3"/>
      <c r="D950" s="135"/>
      <c r="E950" s="135"/>
      <c r="F950" s="135"/>
      <c r="G950" s="135"/>
      <c r="H950" s="136"/>
      <c r="I950" s="135"/>
    </row>
    <row r="951" spans="2:9" s="117" customFormat="1" ht="20.100000000000001" customHeight="1" x14ac:dyDescent="0.2">
      <c r="B951" s="3"/>
      <c r="C951" s="3"/>
      <c r="D951" s="135"/>
      <c r="E951" s="135"/>
      <c r="F951" s="135"/>
      <c r="G951" s="135"/>
      <c r="H951" s="136"/>
      <c r="I951" s="135"/>
    </row>
    <row r="952" spans="2:9" s="117" customFormat="1" ht="20.100000000000001" customHeight="1" x14ac:dyDescent="0.2">
      <c r="B952" s="3"/>
      <c r="C952" s="3"/>
      <c r="D952" s="135"/>
      <c r="E952" s="135"/>
      <c r="F952" s="135"/>
      <c r="G952" s="135"/>
      <c r="H952" s="136"/>
      <c r="I952" s="135"/>
    </row>
    <row r="953" spans="2:9" s="117" customFormat="1" ht="20.100000000000001" customHeight="1" x14ac:dyDescent="0.2">
      <c r="B953" s="3"/>
      <c r="C953" s="3"/>
      <c r="D953" s="135"/>
      <c r="E953" s="135"/>
      <c r="F953" s="135"/>
      <c r="G953" s="135"/>
      <c r="H953" s="136"/>
      <c r="I953" s="135"/>
    </row>
    <row r="954" spans="2:9" s="117" customFormat="1" ht="20.100000000000001" customHeight="1" x14ac:dyDescent="0.2">
      <c r="B954" s="3"/>
      <c r="C954" s="3"/>
      <c r="D954" s="135"/>
      <c r="E954" s="135"/>
      <c r="F954" s="135"/>
      <c r="G954" s="135"/>
      <c r="H954" s="136"/>
      <c r="I954" s="135"/>
    </row>
    <row r="955" spans="2:9" s="117" customFormat="1" ht="20.100000000000001" customHeight="1" x14ac:dyDescent="0.2">
      <c r="B955" s="3"/>
      <c r="C955" s="3"/>
      <c r="D955" s="135"/>
      <c r="E955" s="135"/>
      <c r="F955" s="135"/>
      <c r="G955" s="135"/>
      <c r="H955" s="136"/>
      <c r="I955" s="135"/>
    </row>
    <row r="956" spans="2:9" s="117" customFormat="1" ht="20.100000000000001" customHeight="1" x14ac:dyDescent="0.2">
      <c r="B956" s="3"/>
      <c r="C956" s="3"/>
      <c r="D956" s="135"/>
      <c r="E956" s="135"/>
      <c r="F956" s="135"/>
      <c r="G956" s="135"/>
      <c r="H956" s="136"/>
      <c r="I956" s="135"/>
    </row>
    <row r="957" spans="2:9" s="117" customFormat="1" ht="20.100000000000001" customHeight="1" x14ac:dyDescent="0.2">
      <c r="B957" s="3"/>
      <c r="C957" s="3"/>
      <c r="D957" s="135"/>
      <c r="E957" s="135"/>
      <c r="F957" s="135"/>
      <c r="G957" s="135"/>
      <c r="H957" s="136"/>
      <c r="I957" s="135"/>
    </row>
    <row r="958" spans="2:9" s="117" customFormat="1" ht="20.100000000000001" customHeight="1" x14ac:dyDescent="0.2">
      <c r="B958" s="3"/>
      <c r="C958" s="3"/>
      <c r="D958" s="135"/>
      <c r="E958" s="135"/>
      <c r="F958" s="135"/>
      <c r="G958" s="135"/>
      <c r="H958" s="136"/>
      <c r="I958" s="135"/>
    </row>
    <row r="959" spans="2:9" s="117" customFormat="1" ht="20.100000000000001" customHeight="1" x14ac:dyDescent="0.2">
      <c r="B959" s="3"/>
      <c r="C959" s="3"/>
      <c r="D959" s="135"/>
      <c r="E959" s="135"/>
      <c r="F959" s="135"/>
      <c r="G959" s="135"/>
      <c r="H959" s="136"/>
      <c r="I959" s="135"/>
    </row>
    <row r="960" spans="2:9" s="117" customFormat="1" ht="20.100000000000001" customHeight="1" x14ac:dyDescent="0.2">
      <c r="B960" s="3"/>
      <c r="C960" s="3"/>
      <c r="D960" s="135"/>
      <c r="E960" s="135"/>
      <c r="F960" s="135"/>
      <c r="G960" s="135"/>
      <c r="H960" s="136"/>
      <c r="I960" s="135"/>
    </row>
    <row r="961" spans="2:9" s="117" customFormat="1" ht="20.100000000000001" customHeight="1" x14ac:dyDescent="0.2">
      <c r="B961" s="3"/>
      <c r="C961" s="3"/>
      <c r="D961" s="135"/>
      <c r="E961" s="135"/>
      <c r="F961" s="135"/>
      <c r="G961" s="135"/>
      <c r="H961" s="136"/>
      <c r="I961" s="135"/>
    </row>
    <row r="962" spans="2:9" s="117" customFormat="1" ht="20.100000000000001" customHeight="1" x14ac:dyDescent="0.2">
      <c r="B962" s="3"/>
      <c r="C962" s="3"/>
      <c r="D962" s="135"/>
      <c r="E962" s="135"/>
      <c r="F962" s="135"/>
      <c r="G962" s="135"/>
      <c r="H962" s="136"/>
      <c r="I962" s="135"/>
    </row>
    <row r="963" spans="2:9" s="117" customFormat="1" ht="20.100000000000001" customHeight="1" x14ac:dyDescent="0.2">
      <c r="B963" s="3"/>
      <c r="C963" s="3"/>
      <c r="D963" s="135"/>
      <c r="E963" s="135"/>
      <c r="F963" s="135"/>
      <c r="G963" s="135"/>
      <c r="H963" s="136"/>
      <c r="I963" s="135"/>
    </row>
    <row r="964" spans="2:9" s="117" customFormat="1" ht="20.100000000000001" customHeight="1" x14ac:dyDescent="0.2">
      <c r="B964" s="3"/>
      <c r="C964" s="3"/>
      <c r="D964" s="135"/>
      <c r="E964" s="135"/>
      <c r="F964" s="135"/>
      <c r="G964" s="135"/>
      <c r="H964" s="136"/>
      <c r="I964" s="135"/>
    </row>
    <row r="965" spans="2:9" s="117" customFormat="1" ht="20.100000000000001" customHeight="1" x14ac:dyDescent="0.2">
      <c r="B965" s="3"/>
      <c r="C965" s="3"/>
      <c r="D965" s="135"/>
      <c r="E965" s="135"/>
      <c r="F965" s="135"/>
      <c r="G965" s="135"/>
      <c r="H965" s="136"/>
      <c r="I965" s="135"/>
    </row>
    <row r="966" spans="2:9" s="117" customFormat="1" ht="20.100000000000001" customHeight="1" x14ac:dyDescent="0.2">
      <c r="B966" s="3"/>
      <c r="C966" s="3"/>
      <c r="D966" s="135"/>
      <c r="E966" s="135"/>
      <c r="F966" s="135"/>
      <c r="G966" s="135"/>
      <c r="H966" s="136"/>
      <c r="I966" s="135"/>
    </row>
    <row r="967" spans="2:9" s="117" customFormat="1" ht="20.100000000000001" customHeight="1" x14ac:dyDescent="0.2">
      <c r="B967" s="3"/>
      <c r="C967" s="3"/>
      <c r="D967" s="135"/>
      <c r="E967" s="135"/>
      <c r="F967" s="135"/>
      <c r="G967" s="135"/>
      <c r="H967" s="136"/>
      <c r="I967" s="135"/>
    </row>
    <row r="968" spans="2:9" s="117" customFormat="1" ht="20.100000000000001" customHeight="1" x14ac:dyDescent="0.2">
      <c r="B968" s="3"/>
      <c r="C968" s="3"/>
      <c r="D968" s="135"/>
      <c r="E968" s="135"/>
      <c r="F968" s="135"/>
      <c r="G968" s="135"/>
      <c r="H968" s="136"/>
      <c r="I968" s="135"/>
    </row>
    <row r="969" spans="2:9" s="117" customFormat="1" ht="20.100000000000001" customHeight="1" x14ac:dyDescent="0.2">
      <c r="B969" s="3"/>
      <c r="C969" s="3"/>
      <c r="D969" s="135"/>
      <c r="E969" s="135"/>
      <c r="F969" s="135"/>
      <c r="G969" s="135"/>
      <c r="H969" s="136"/>
      <c r="I969" s="135"/>
    </row>
    <row r="970" spans="2:9" s="117" customFormat="1" ht="20.100000000000001" customHeight="1" x14ac:dyDescent="0.2">
      <c r="B970" s="3"/>
      <c r="C970" s="3"/>
      <c r="D970" s="135"/>
      <c r="E970" s="135"/>
      <c r="F970" s="135"/>
      <c r="G970" s="135"/>
      <c r="H970" s="136"/>
      <c r="I970" s="135"/>
    </row>
    <row r="971" spans="2:9" s="117" customFormat="1" ht="20.100000000000001" customHeight="1" x14ac:dyDescent="0.2">
      <c r="B971" s="3"/>
      <c r="C971" s="3"/>
      <c r="D971" s="135"/>
      <c r="E971" s="135"/>
      <c r="F971" s="135"/>
      <c r="G971" s="135"/>
      <c r="H971" s="136"/>
      <c r="I971" s="135"/>
    </row>
    <row r="972" spans="2:9" s="117" customFormat="1" ht="20.100000000000001" customHeight="1" x14ac:dyDescent="0.2">
      <c r="B972" s="3"/>
      <c r="C972" s="3"/>
      <c r="D972" s="135"/>
      <c r="E972" s="135"/>
      <c r="F972" s="135"/>
      <c r="G972" s="135"/>
      <c r="H972" s="136"/>
      <c r="I972" s="135"/>
    </row>
    <row r="973" spans="2:9" s="117" customFormat="1" ht="20.100000000000001" customHeight="1" x14ac:dyDescent="0.2">
      <c r="B973" s="3"/>
      <c r="C973" s="3"/>
      <c r="D973" s="135"/>
      <c r="E973" s="135"/>
      <c r="F973" s="135"/>
      <c r="G973" s="135"/>
      <c r="H973" s="136"/>
      <c r="I973" s="135"/>
    </row>
    <row r="974" spans="2:9" s="117" customFormat="1" ht="20.100000000000001" customHeight="1" x14ac:dyDescent="0.2">
      <c r="B974" s="3"/>
      <c r="C974" s="3"/>
      <c r="D974" s="135"/>
      <c r="E974" s="135"/>
      <c r="F974" s="135"/>
      <c r="G974" s="135"/>
      <c r="H974" s="136"/>
      <c r="I974" s="135"/>
    </row>
    <row r="975" spans="2:9" s="117" customFormat="1" ht="20.100000000000001" customHeight="1" x14ac:dyDescent="0.2">
      <c r="B975" s="3"/>
      <c r="C975" s="3"/>
      <c r="D975" s="135"/>
      <c r="E975" s="135"/>
      <c r="F975" s="135"/>
      <c r="G975" s="135"/>
      <c r="H975" s="136"/>
      <c r="I975" s="135"/>
    </row>
    <row r="976" spans="2:9" s="117" customFormat="1" ht="20.100000000000001" customHeight="1" x14ac:dyDescent="0.2">
      <c r="B976" s="3"/>
      <c r="C976" s="3"/>
      <c r="D976" s="135"/>
      <c r="E976" s="135"/>
      <c r="F976" s="135"/>
      <c r="G976" s="135"/>
      <c r="H976" s="136"/>
      <c r="I976" s="135"/>
    </row>
    <row r="977" spans="2:9" s="117" customFormat="1" ht="20.100000000000001" customHeight="1" x14ac:dyDescent="0.2">
      <c r="B977" s="3"/>
      <c r="C977" s="3"/>
      <c r="D977" s="135"/>
      <c r="E977" s="135"/>
      <c r="F977" s="135"/>
      <c r="G977" s="135"/>
      <c r="H977" s="136"/>
      <c r="I977" s="135"/>
    </row>
    <row r="978" spans="2:9" s="117" customFormat="1" ht="20.100000000000001" customHeight="1" x14ac:dyDescent="0.2">
      <c r="B978" s="3"/>
      <c r="C978" s="3"/>
      <c r="D978" s="135"/>
      <c r="E978" s="135"/>
      <c r="F978" s="135"/>
      <c r="G978" s="135"/>
      <c r="H978" s="136"/>
      <c r="I978" s="135"/>
    </row>
    <row r="979" spans="2:9" s="117" customFormat="1" ht="20.100000000000001" customHeight="1" x14ac:dyDescent="0.2">
      <c r="B979" s="3"/>
      <c r="C979" s="3"/>
      <c r="D979" s="135"/>
      <c r="E979" s="135"/>
      <c r="F979" s="135"/>
      <c r="G979" s="135"/>
      <c r="H979" s="136"/>
      <c r="I979" s="135"/>
    </row>
    <row r="980" spans="2:9" s="117" customFormat="1" ht="20.100000000000001" customHeight="1" x14ac:dyDescent="0.2">
      <c r="B980" s="3"/>
      <c r="C980" s="3"/>
      <c r="D980" s="135"/>
      <c r="E980" s="135"/>
      <c r="F980" s="135"/>
      <c r="G980" s="135"/>
      <c r="H980" s="136"/>
      <c r="I980" s="135"/>
    </row>
    <row r="981" spans="2:9" s="117" customFormat="1" ht="20.100000000000001" customHeight="1" x14ac:dyDescent="0.2">
      <c r="B981" s="3"/>
      <c r="C981" s="3"/>
      <c r="D981" s="135"/>
      <c r="E981" s="135"/>
      <c r="F981" s="135"/>
      <c r="G981" s="135"/>
      <c r="H981" s="136"/>
      <c r="I981" s="135"/>
    </row>
    <row r="982" spans="2:9" s="117" customFormat="1" ht="20.100000000000001" customHeight="1" x14ac:dyDescent="0.2">
      <c r="B982" s="3"/>
      <c r="C982" s="3"/>
      <c r="D982" s="135"/>
      <c r="E982" s="135"/>
      <c r="F982" s="135"/>
      <c r="G982" s="135"/>
      <c r="H982" s="136"/>
      <c r="I982" s="135"/>
    </row>
    <row r="983" spans="2:9" s="117" customFormat="1" ht="20.100000000000001" customHeight="1" x14ac:dyDescent="0.2">
      <c r="B983" s="3"/>
      <c r="C983" s="3"/>
      <c r="D983" s="135"/>
      <c r="E983" s="135"/>
      <c r="F983" s="135"/>
      <c r="G983" s="135"/>
      <c r="H983" s="136"/>
      <c r="I983" s="135"/>
    </row>
    <row r="984" spans="2:9" s="117" customFormat="1" ht="20.100000000000001" customHeight="1" x14ac:dyDescent="0.2">
      <c r="B984" s="3"/>
      <c r="C984" s="3"/>
      <c r="D984" s="135"/>
      <c r="E984" s="135"/>
      <c r="F984" s="135"/>
      <c r="G984" s="135"/>
      <c r="H984" s="136"/>
      <c r="I984" s="135"/>
    </row>
    <row r="985" spans="2:9" s="117" customFormat="1" ht="20.100000000000001" customHeight="1" x14ac:dyDescent="0.2">
      <c r="B985" s="3"/>
      <c r="C985" s="3"/>
      <c r="D985" s="135"/>
      <c r="E985" s="135"/>
      <c r="F985" s="135"/>
      <c r="G985" s="135"/>
      <c r="H985" s="136"/>
      <c r="I985" s="135"/>
    </row>
    <row r="986" spans="2:9" s="117" customFormat="1" ht="20.100000000000001" customHeight="1" x14ac:dyDescent="0.2">
      <c r="B986" s="3"/>
      <c r="C986" s="3"/>
      <c r="D986" s="135"/>
      <c r="E986" s="135"/>
      <c r="F986" s="135"/>
      <c r="G986" s="135"/>
      <c r="H986" s="136"/>
      <c r="I986" s="135"/>
    </row>
    <row r="987" spans="2:9" s="117" customFormat="1" ht="20.100000000000001" customHeight="1" x14ac:dyDescent="0.2">
      <c r="B987" s="3"/>
      <c r="C987" s="3"/>
      <c r="D987" s="135"/>
      <c r="E987" s="135"/>
      <c r="F987" s="135"/>
      <c r="G987" s="135"/>
      <c r="H987" s="136"/>
      <c r="I987" s="135"/>
    </row>
    <row r="988" spans="2:9" s="117" customFormat="1" ht="20.100000000000001" customHeight="1" x14ac:dyDescent="0.2">
      <c r="B988" s="3"/>
      <c r="C988" s="3"/>
      <c r="D988" s="135"/>
      <c r="E988" s="135"/>
      <c r="F988" s="135"/>
      <c r="G988" s="135"/>
      <c r="H988" s="136"/>
      <c r="I988" s="135"/>
    </row>
    <row r="989" spans="2:9" s="117" customFormat="1" ht="20.100000000000001" customHeight="1" x14ac:dyDescent="0.2">
      <c r="B989" s="3"/>
      <c r="C989" s="3"/>
      <c r="D989" s="135"/>
      <c r="E989" s="135"/>
      <c r="F989" s="135"/>
      <c r="G989" s="135"/>
      <c r="H989" s="136"/>
      <c r="I989" s="135"/>
    </row>
    <row r="990" spans="2:9" s="117" customFormat="1" ht="20.100000000000001" customHeight="1" x14ac:dyDescent="0.2">
      <c r="B990" s="3"/>
      <c r="C990" s="3"/>
      <c r="D990" s="135"/>
      <c r="E990" s="135"/>
      <c r="F990" s="135"/>
      <c r="G990" s="135"/>
      <c r="H990" s="136"/>
      <c r="I990" s="135"/>
    </row>
    <row r="991" spans="2:9" s="117" customFormat="1" ht="20.100000000000001" customHeight="1" x14ac:dyDescent="0.2">
      <c r="B991" s="3"/>
      <c r="C991" s="3"/>
      <c r="D991" s="135"/>
      <c r="E991" s="135"/>
      <c r="F991" s="135"/>
      <c r="G991" s="135"/>
      <c r="H991" s="136"/>
      <c r="I991" s="135"/>
    </row>
    <row r="992" spans="2:9" s="117" customFormat="1" ht="20.100000000000001" customHeight="1" x14ac:dyDescent="0.2">
      <c r="B992" s="3"/>
      <c r="C992" s="3"/>
      <c r="D992" s="135"/>
      <c r="E992" s="135"/>
      <c r="F992" s="135"/>
      <c r="G992" s="135"/>
      <c r="H992" s="136"/>
      <c r="I992" s="135"/>
    </row>
    <row r="993" spans="2:9" s="117" customFormat="1" ht="20.100000000000001" customHeight="1" x14ac:dyDescent="0.2">
      <c r="B993" s="3"/>
      <c r="C993" s="3"/>
      <c r="D993" s="135"/>
      <c r="E993" s="135"/>
      <c r="F993" s="135"/>
      <c r="G993" s="135"/>
      <c r="H993" s="136"/>
      <c r="I993" s="135"/>
    </row>
    <row r="994" spans="2:9" s="117" customFormat="1" ht="20.100000000000001" customHeight="1" x14ac:dyDescent="0.2">
      <c r="B994" s="3"/>
      <c r="C994" s="3"/>
      <c r="D994" s="135"/>
      <c r="E994" s="135"/>
      <c r="F994" s="135"/>
      <c r="G994" s="135"/>
      <c r="H994" s="136"/>
      <c r="I994" s="135"/>
    </row>
    <row r="995" spans="2:9" s="117" customFormat="1" ht="20.100000000000001" customHeight="1" x14ac:dyDescent="0.2">
      <c r="B995" s="3"/>
      <c r="C995" s="3"/>
      <c r="D995" s="135"/>
      <c r="E995" s="135"/>
      <c r="F995" s="135"/>
      <c r="G995" s="135"/>
      <c r="H995" s="136"/>
      <c r="I995" s="135"/>
    </row>
    <row r="996" spans="2:9" s="117" customFormat="1" ht="20.100000000000001" customHeight="1" x14ac:dyDescent="0.2">
      <c r="B996" s="3"/>
      <c r="C996" s="3"/>
      <c r="D996" s="135"/>
      <c r="E996" s="135"/>
      <c r="F996" s="135"/>
      <c r="G996" s="135"/>
      <c r="H996" s="136"/>
      <c r="I996" s="135"/>
    </row>
    <row r="997" spans="2:9" s="117" customFormat="1" ht="20.100000000000001" customHeight="1" x14ac:dyDescent="0.2">
      <c r="B997" s="3"/>
      <c r="C997" s="3"/>
      <c r="D997" s="135"/>
      <c r="E997" s="135"/>
      <c r="F997" s="135"/>
      <c r="G997" s="135"/>
      <c r="H997" s="136"/>
      <c r="I997" s="135"/>
    </row>
    <row r="998" spans="2:9" s="117" customFormat="1" ht="20.100000000000001" customHeight="1" x14ac:dyDescent="0.2">
      <c r="B998" s="3"/>
      <c r="C998" s="3"/>
      <c r="D998" s="135"/>
      <c r="E998" s="135"/>
      <c r="F998" s="135"/>
      <c r="G998" s="135"/>
      <c r="H998" s="136"/>
      <c r="I998" s="135"/>
    </row>
    <row r="999" spans="2:9" s="117" customFormat="1" ht="20.100000000000001" customHeight="1" x14ac:dyDescent="0.2">
      <c r="B999" s="3"/>
      <c r="C999" s="3"/>
      <c r="D999" s="135"/>
      <c r="E999" s="135"/>
      <c r="F999" s="135"/>
      <c r="G999" s="135"/>
      <c r="H999" s="136"/>
      <c r="I999" s="135"/>
    </row>
    <row r="1000" spans="2:9" s="117" customFormat="1" ht="20.100000000000001" customHeight="1" x14ac:dyDescent="0.2">
      <c r="B1000" s="3"/>
      <c r="C1000" s="3"/>
      <c r="D1000" s="135"/>
      <c r="E1000" s="135"/>
      <c r="F1000" s="135"/>
      <c r="G1000" s="135"/>
      <c r="H1000" s="136"/>
      <c r="I1000" s="135"/>
    </row>
    <row r="1001" spans="2:9" s="117" customFormat="1" ht="20.100000000000001" customHeight="1" x14ac:dyDescent="0.2">
      <c r="B1001" s="3"/>
      <c r="C1001" s="3"/>
      <c r="D1001" s="135"/>
      <c r="E1001" s="135"/>
      <c r="F1001" s="135"/>
      <c r="G1001" s="135"/>
      <c r="H1001" s="136"/>
      <c r="I1001" s="135"/>
    </row>
    <row r="1002" spans="2:9" s="117" customFormat="1" ht="20.100000000000001" customHeight="1" x14ac:dyDescent="0.2">
      <c r="B1002" s="3"/>
      <c r="C1002" s="3"/>
      <c r="D1002" s="135"/>
      <c r="E1002" s="135"/>
      <c r="F1002" s="135"/>
      <c r="G1002" s="135"/>
      <c r="H1002" s="136"/>
      <c r="I1002" s="135"/>
    </row>
    <row r="1003" spans="2:9" s="117" customFormat="1" ht="20.100000000000001" customHeight="1" x14ac:dyDescent="0.2">
      <c r="B1003" s="3"/>
      <c r="C1003" s="3"/>
      <c r="D1003" s="135"/>
      <c r="E1003" s="135"/>
      <c r="F1003" s="135"/>
      <c r="G1003" s="135"/>
      <c r="H1003" s="136"/>
      <c r="I1003" s="135"/>
    </row>
    <row r="1004" spans="2:9" s="117" customFormat="1" ht="20.100000000000001" customHeight="1" x14ac:dyDescent="0.2">
      <c r="B1004" s="3"/>
      <c r="C1004" s="3"/>
      <c r="D1004" s="135"/>
      <c r="E1004" s="135"/>
      <c r="F1004" s="135"/>
      <c r="G1004" s="135"/>
      <c r="H1004" s="136"/>
      <c r="I1004" s="135"/>
    </row>
    <row r="1005" spans="2:9" s="117" customFormat="1" ht="20.100000000000001" customHeight="1" x14ac:dyDescent="0.2">
      <c r="B1005" s="3"/>
      <c r="C1005" s="3"/>
      <c r="D1005" s="135"/>
      <c r="E1005" s="135"/>
      <c r="F1005" s="135"/>
      <c r="G1005" s="135"/>
      <c r="H1005" s="136"/>
      <c r="I1005" s="135"/>
    </row>
    <row r="1006" spans="2:9" s="117" customFormat="1" ht="20.100000000000001" customHeight="1" x14ac:dyDescent="0.2">
      <c r="B1006" s="3"/>
      <c r="C1006" s="3"/>
      <c r="D1006" s="135"/>
      <c r="E1006" s="135"/>
      <c r="F1006" s="135"/>
      <c r="G1006" s="135"/>
      <c r="H1006" s="136"/>
      <c r="I1006" s="135"/>
    </row>
    <row r="1007" spans="2:9" s="117" customFormat="1" ht="20.100000000000001" customHeight="1" x14ac:dyDescent="0.2">
      <c r="B1007" s="3"/>
      <c r="C1007" s="3"/>
      <c r="D1007" s="135"/>
      <c r="E1007" s="135"/>
      <c r="F1007" s="135"/>
      <c r="G1007" s="135"/>
      <c r="H1007" s="136"/>
      <c r="I1007" s="135"/>
    </row>
    <row r="1008" spans="2:9" s="117" customFormat="1" ht="20.100000000000001" customHeight="1" x14ac:dyDescent="0.2">
      <c r="B1008" s="3"/>
      <c r="C1008" s="3"/>
      <c r="D1008" s="135"/>
      <c r="E1008" s="135"/>
      <c r="F1008" s="135"/>
      <c r="G1008" s="135"/>
      <c r="H1008" s="136"/>
      <c r="I1008" s="135"/>
    </row>
    <row r="1009" spans="2:9" s="117" customFormat="1" ht="20.100000000000001" customHeight="1" x14ac:dyDescent="0.2">
      <c r="B1009" s="3"/>
      <c r="C1009" s="3"/>
      <c r="D1009" s="135"/>
      <c r="E1009" s="135"/>
      <c r="F1009" s="135"/>
      <c r="G1009" s="135"/>
      <c r="H1009" s="136"/>
      <c r="I1009" s="135"/>
    </row>
    <row r="1010" spans="2:9" s="117" customFormat="1" ht="20.100000000000001" customHeight="1" x14ac:dyDescent="0.2">
      <c r="B1010" s="3"/>
      <c r="C1010" s="3"/>
      <c r="D1010" s="135"/>
      <c r="E1010" s="135"/>
      <c r="F1010" s="135"/>
      <c r="G1010" s="135"/>
      <c r="H1010" s="136"/>
      <c r="I1010" s="135"/>
    </row>
    <row r="1011" spans="2:9" s="117" customFormat="1" ht="20.100000000000001" customHeight="1" x14ac:dyDescent="0.2">
      <c r="B1011" s="3"/>
      <c r="C1011" s="3"/>
      <c r="D1011" s="135"/>
      <c r="E1011" s="135"/>
      <c r="F1011" s="135"/>
      <c r="G1011" s="135"/>
      <c r="H1011" s="136"/>
      <c r="I1011" s="135"/>
    </row>
    <row r="1012" spans="2:9" s="117" customFormat="1" ht="20.100000000000001" customHeight="1" x14ac:dyDescent="0.2">
      <c r="B1012" s="3"/>
      <c r="C1012" s="3"/>
      <c r="D1012" s="135"/>
      <c r="E1012" s="135"/>
      <c r="F1012" s="135"/>
      <c r="G1012" s="135"/>
      <c r="H1012" s="136"/>
      <c r="I1012" s="135"/>
    </row>
    <row r="1013" spans="2:9" s="117" customFormat="1" ht="20.100000000000001" customHeight="1" x14ac:dyDescent="0.2">
      <c r="B1013" s="3"/>
      <c r="C1013" s="3"/>
      <c r="D1013" s="135"/>
      <c r="E1013" s="135"/>
      <c r="F1013" s="135"/>
      <c r="G1013" s="135"/>
      <c r="H1013" s="136"/>
      <c r="I1013" s="135"/>
    </row>
    <row r="1014" spans="2:9" s="117" customFormat="1" ht="20.100000000000001" customHeight="1" x14ac:dyDescent="0.2">
      <c r="B1014" s="3"/>
      <c r="C1014" s="3"/>
      <c r="D1014" s="135"/>
      <c r="E1014" s="135"/>
      <c r="F1014" s="135"/>
      <c r="G1014" s="135"/>
      <c r="H1014" s="136"/>
      <c r="I1014" s="135"/>
    </row>
    <row r="1015" spans="2:9" s="117" customFormat="1" ht="20.100000000000001" customHeight="1" x14ac:dyDescent="0.2">
      <c r="B1015" s="3"/>
      <c r="C1015" s="3"/>
      <c r="D1015" s="135"/>
      <c r="E1015" s="135"/>
      <c r="F1015" s="135"/>
      <c r="G1015" s="135"/>
      <c r="H1015" s="136"/>
      <c r="I1015" s="135"/>
    </row>
    <row r="1016" spans="2:9" s="117" customFormat="1" ht="20.100000000000001" customHeight="1" x14ac:dyDescent="0.2">
      <c r="B1016" s="3"/>
      <c r="C1016" s="3"/>
      <c r="D1016" s="135"/>
      <c r="E1016" s="135"/>
      <c r="F1016" s="135"/>
      <c r="G1016" s="135"/>
      <c r="H1016" s="136"/>
      <c r="I1016" s="135"/>
    </row>
    <row r="1017" spans="2:9" s="117" customFormat="1" ht="20.100000000000001" customHeight="1" x14ac:dyDescent="0.2">
      <c r="B1017" s="3"/>
      <c r="C1017" s="3"/>
      <c r="D1017" s="135"/>
      <c r="E1017" s="135"/>
      <c r="F1017" s="135"/>
      <c r="G1017" s="135"/>
      <c r="H1017" s="136"/>
      <c r="I1017" s="135"/>
    </row>
    <row r="1018" spans="2:9" s="117" customFormat="1" ht="20.100000000000001" customHeight="1" x14ac:dyDescent="0.2">
      <c r="B1018" s="3"/>
      <c r="C1018" s="3"/>
      <c r="D1018" s="135"/>
      <c r="E1018" s="135"/>
      <c r="F1018" s="135"/>
      <c r="G1018" s="135"/>
      <c r="H1018" s="136"/>
      <c r="I1018" s="135"/>
    </row>
    <row r="1019" spans="2:9" s="117" customFormat="1" ht="20.100000000000001" customHeight="1" x14ac:dyDescent="0.2">
      <c r="B1019" s="3"/>
      <c r="C1019" s="3"/>
      <c r="D1019" s="135"/>
      <c r="E1019" s="135"/>
      <c r="F1019" s="135"/>
      <c r="G1019" s="135"/>
      <c r="H1019" s="136"/>
      <c r="I1019" s="135"/>
    </row>
    <row r="1020" spans="2:9" s="117" customFormat="1" ht="20.100000000000001" customHeight="1" x14ac:dyDescent="0.2">
      <c r="B1020" s="3"/>
      <c r="C1020" s="3"/>
      <c r="D1020" s="135"/>
      <c r="E1020" s="135"/>
      <c r="F1020" s="135"/>
      <c r="G1020" s="135"/>
      <c r="H1020" s="136"/>
      <c r="I1020" s="135"/>
    </row>
    <row r="1021" spans="2:9" s="117" customFormat="1" ht="20.100000000000001" customHeight="1" x14ac:dyDescent="0.2">
      <c r="B1021" s="3"/>
      <c r="C1021" s="3"/>
      <c r="D1021" s="135"/>
      <c r="E1021" s="135"/>
      <c r="F1021" s="135"/>
      <c r="G1021" s="135"/>
      <c r="H1021" s="136"/>
      <c r="I1021" s="135"/>
    </row>
    <row r="1022" spans="2:9" s="117" customFormat="1" ht="20.100000000000001" customHeight="1" x14ac:dyDescent="0.2">
      <c r="B1022" s="3"/>
      <c r="C1022" s="3"/>
      <c r="D1022" s="135"/>
      <c r="E1022" s="135"/>
      <c r="F1022" s="135"/>
      <c r="G1022" s="135"/>
      <c r="H1022" s="136"/>
      <c r="I1022" s="135"/>
    </row>
    <row r="1023" spans="2:9" s="117" customFormat="1" ht="20.100000000000001" customHeight="1" x14ac:dyDescent="0.2">
      <c r="B1023" s="3"/>
      <c r="C1023" s="3"/>
      <c r="D1023" s="135"/>
      <c r="E1023" s="135"/>
      <c r="F1023" s="135"/>
      <c r="G1023" s="135"/>
      <c r="H1023" s="136"/>
      <c r="I1023" s="135"/>
    </row>
    <row r="1024" spans="2:9" s="117" customFormat="1" ht="20.100000000000001" customHeight="1" x14ac:dyDescent="0.2">
      <c r="B1024" s="3"/>
      <c r="C1024" s="3"/>
      <c r="D1024" s="135"/>
      <c r="E1024" s="135"/>
      <c r="F1024" s="135"/>
      <c r="G1024" s="135"/>
      <c r="H1024" s="136"/>
      <c r="I1024" s="135"/>
    </row>
    <row r="1025" spans="2:9" s="117" customFormat="1" ht="20.100000000000001" customHeight="1" x14ac:dyDescent="0.2">
      <c r="B1025" s="3"/>
      <c r="C1025" s="3"/>
      <c r="D1025" s="135"/>
      <c r="E1025" s="135"/>
      <c r="F1025" s="135"/>
      <c r="G1025" s="135"/>
      <c r="H1025" s="136"/>
      <c r="I1025" s="135"/>
    </row>
    <row r="1026" spans="2:9" s="117" customFormat="1" ht="20.100000000000001" customHeight="1" x14ac:dyDescent="0.2">
      <c r="B1026" s="3"/>
      <c r="C1026" s="3"/>
      <c r="D1026" s="135"/>
      <c r="E1026" s="135"/>
      <c r="F1026" s="135"/>
      <c r="G1026" s="135"/>
      <c r="H1026" s="136"/>
      <c r="I1026" s="135"/>
    </row>
    <row r="1027" spans="2:9" s="117" customFormat="1" ht="20.100000000000001" customHeight="1" x14ac:dyDescent="0.2">
      <c r="B1027" s="3"/>
      <c r="C1027" s="3"/>
      <c r="D1027" s="135"/>
      <c r="E1027" s="135"/>
      <c r="F1027" s="135"/>
      <c r="G1027" s="135"/>
      <c r="H1027" s="136"/>
      <c r="I1027" s="135"/>
    </row>
    <row r="1028" spans="2:9" s="117" customFormat="1" ht="20.100000000000001" customHeight="1" x14ac:dyDescent="0.2">
      <c r="B1028" s="3"/>
      <c r="C1028" s="3"/>
      <c r="D1028" s="135"/>
      <c r="E1028" s="135"/>
      <c r="F1028" s="135"/>
      <c r="G1028" s="135"/>
      <c r="H1028" s="136"/>
      <c r="I1028" s="135"/>
    </row>
    <row r="1029" spans="2:9" s="117" customFormat="1" ht="20.100000000000001" customHeight="1" x14ac:dyDescent="0.2">
      <c r="B1029" s="3"/>
      <c r="C1029" s="3"/>
      <c r="D1029" s="135"/>
      <c r="E1029" s="135"/>
      <c r="F1029" s="135"/>
      <c r="G1029" s="135"/>
      <c r="H1029" s="136"/>
      <c r="I1029" s="135"/>
    </row>
    <row r="1030" spans="2:9" s="117" customFormat="1" ht="20.100000000000001" customHeight="1" x14ac:dyDescent="0.2">
      <c r="B1030" s="3"/>
      <c r="C1030" s="3"/>
      <c r="D1030" s="135"/>
      <c r="E1030" s="135"/>
      <c r="F1030" s="135"/>
      <c r="G1030" s="135"/>
      <c r="H1030" s="136"/>
      <c r="I1030" s="135"/>
    </row>
    <row r="1031" spans="2:9" s="117" customFormat="1" ht="20.100000000000001" customHeight="1" x14ac:dyDescent="0.2">
      <c r="B1031" s="3"/>
      <c r="C1031" s="3"/>
      <c r="D1031" s="135"/>
      <c r="E1031" s="135"/>
      <c r="F1031" s="135"/>
      <c r="G1031" s="135"/>
      <c r="H1031" s="136"/>
      <c r="I1031" s="135"/>
    </row>
    <row r="1032" spans="2:9" s="117" customFormat="1" ht="20.100000000000001" customHeight="1" x14ac:dyDescent="0.2">
      <c r="B1032" s="3"/>
      <c r="C1032" s="3"/>
      <c r="D1032" s="135"/>
      <c r="E1032" s="135"/>
      <c r="F1032" s="135"/>
      <c r="G1032" s="135"/>
      <c r="H1032" s="136"/>
      <c r="I1032" s="135"/>
    </row>
    <row r="1033" spans="2:9" s="117" customFormat="1" ht="20.100000000000001" customHeight="1" x14ac:dyDescent="0.2">
      <c r="B1033" s="3"/>
      <c r="C1033" s="3"/>
      <c r="D1033" s="135"/>
      <c r="E1033" s="135"/>
      <c r="F1033" s="135"/>
      <c r="G1033" s="135"/>
      <c r="H1033" s="136"/>
      <c r="I1033" s="135"/>
    </row>
    <row r="1034" spans="2:9" s="117" customFormat="1" ht="20.100000000000001" customHeight="1" x14ac:dyDescent="0.2">
      <c r="B1034" s="3"/>
      <c r="C1034" s="3"/>
      <c r="D1034" s="135"/>
      <c r="E1034" s="135"/>
      <c r="F1034" s="135"/>
      <c r="G1034" s="135"/>
      <c r="H1034" s="136"/>
      <c r="I1034" s="135"/>
    </row>
    <row r="1035" spans="2:9" s="117" customFormat="1" ht="20.100000000000001" customHeight="1" x14ac:dyDescent="0.2">
      <c r="B1035" s="3"/>
      <c r="C1035" s="3"/>
      <c r="D1035" s="135"/>
      <c r="E1035" s="135"/>
      <c r="F1035" s="135"/>
      <c r="G1035" s="135"/>
      <c r="H1035" s="136"/>
      <c r="I1035" s="135"/>
    </row>
    <row r="1036" spans="2:9" s="117" customFormat="1" ht="20.100000000000001" customHeight="1" x14ac:dyDescent="0.2">
      <c r="B1036" s="3"/>
      <c r="C1036" s="3"/>
      <c r="D1036" s="135"/>
      <c r="E1036" s="135"/>
      <c r="F1036" s="135"/>
      <c r="G1036" s="135"/>
      <c r="H1036" s="136"/>
      <c r="I1036" s="135"/>
    </row>
    <row r="1037" spans="2:9" s="117" customFormat="1" ht="20.100000000000001" customHeight="1" x14ac:dyDescent="0.2">
      <c r="B1037" s="3"/>
      <c r="C1037" s="3"/>
      <c r="D1037" s="135"/>
      <c r="E1037" s="135"/>
      <c r="F1037" s="135"/>
      <c r="G1037" s="135"/>
      <c r="H1037" s="136"/>
      <c r="I1037" s="135"/>
    </row>
    <row r="1038" spans="2:9" s="117" customFormat="1" ht="20.100000000000001" customHeight="1" x14ac:dyDescent="0.2">
      <c r="B1038" s="3"/>
      <c r="C1038" s="3"/>
      <c r="D1038" s="135"/>
      <c r="E1038" s="135"/>
      <c r="F1038" s="135"/>
      <c r="G1038" s="135"/>
      <c r="H1038" s="136"/>
      <c r="I1038" s="135"/>
    </row>
    <row r="1039" spans="2:9" s="117" customFormat="1" ht="20.100000000000001" customHeight="1" x14ac:dyDescent="0.2">
      <c r="B1039" s="3"/>
      <c r="C1039" s="3"/>
      <c r="D1039" s="135"/>
      <c r="E1039" s="135"/>
      <c r="F1039" s="135"/>
      <c r="G1039" s="135"/>
      <c r="H1039" s="136"/>
      <c r="I1039" s="135"/>
    </row>
    <row r="1040" spans="2:9" s="117" customFormat="1" ht="20.100000000000001" customHeight="1" x14ac:dyDescent="0.2">
      <c r="B1040" s="3"/>
      <c r="C1040" s="3"/>
      <c r="D1040" s="135"/>
      <c r="E1040" s="135"/>
      <c r="F1040" s="135"/>
      <c r="G1040" s="135"/>
      <c r="H1040" s="136"/>
      <c r="I1040" s="135"/>
    </row>
    <row r="1041" spans="2:9" s="117" customFormat="1" ht="20.100000000000001" customHeight="1" x14ac:dyDescent="0.2">
      <c r="B1041" s="3"/>
      <c r="C1041" s="3"/>
      <c r="D1041" s="135"/>
      <c r="E1041" s="135"/>
      <c r="F1041" s="135"/>
      <c r="G1041" s="135"/>
      <c r="H1041" s="136"/>
      <c r="I1041" s="135"/>
    </row>
    <row r="1042" spans="2:9" s="117" customFormat="1" ht="20.100000000000001" customHeight="1" x14ac:dyDescent="0.2">
      <c r="B1042" s="3"/>
      <c r="C1042" s="3"/>
      <c r="D1042" s="135"/>
      <c r="E1042" s="135"/>
      <c r="F1042" s="135"/>
      <c r="G1042" s="135"/>
      <c r="H1042" s="136"/>
      <c r="I1042" s="135"/>
    </row>
    <row r="1043" spans="2:9" s="117" customFormat="1" ht="20.100000000000001" customHeight="1" x14ac:dyDescent="0.2">
      <c r="B1043" s="3"/>
      <c r="C1043" s="3"/>
      <c r="D1043" s="135"/>
      <c r="E1043" s="135"/>
      <c r="F1043" s="135"/>
      <c r="G1043" s="135"/>
      <c r="H1043" s="136"/>
      <c r="I1043" s="135"/>
    </row>
    <row r="1044" spans="2:9" s="117" customFormat="1" ht="20.100000000000001" customHeight="1" x14ac:dyDescent="0.2">
      <c r="B1044" s="3"/>
      <c r="C1044" s="3"/>
      <c r="D1044" s="135"/>
      <c r="E1044" s="135"/>
      <c r="F1044" s="135"/>
      <c r="G1044" s="135"/>
      <c r="H1044" s="136"/>
      <c r="I1044" s="135"/>
    </row>
    <row r="1045" spans="2:9" s="117" customFormat="1" ht="20.100000000000001" customHeight="1" x14ac:dyDescent="0.2">
      <c r="B1045" s="3"/>
      <c r="C1045" s="3"/>
      <c r="D1045" s="135"/>
      <c r="E1045" s="135"/>
      <c r="F1045" s="135"/>
      <c r="G1045" s="135"/>
      <c r="H1045" s="136"/>
      <c r="I1045" s="135"/>
    </row>
    <row r="1046" spans="2:9" s="117" customFormat="1" ht="20.100000000000001" customHeight="1" x14ac:dyDescent="0.2">
      <c r="B1046" s="3"/>
      <c r="C1046" s="3"/>
      <c r="D1046" s="135"/>
      <c r="E1046" s="135"/>
      <c r="F1046" s="135"/>
      <c r="G1046" s="135"/>
      <c r="H1046" s="136"/>
      <c r="I1046" s="135"/>
    </row>
    <row r="1047" spans="2:9" s="117" customFormat="1" ht="20.100000000000001" customHeight="1" x14ac:dyDescent="0.2">
      <c r="B1047" s="3"/>
      <c r="C1047" s="3"/>
      <c r="D1047" s="135"/>
      <c r="E1047" s="135"/>
      <c r="F1047" s="135"/>
      <c r="G1047" s="135"/>
      <c r="H1047" s="136"/>
      <c r="I1047" s="135"/>
    </row>
    <row r="1048" spans="2:9" s="117" customFormat="1" ht="20.100000000000001" customHeight="1" x14ac:dyDescent="0.2">
      <c r="B1048" s="3"/>
      <c r="C1048" s="3"/>
      <c r="D1048" s="135"/>
      <c r="E1048" s="135"/>
      <c r="F1048" s="135"/>
      <c r="G1048" s="135"/>
      <c r="H1048" s="136"/>
      <c r="I1048" s="135"/>
    </row>
    <row r="1049" spans="2:9" s="117" customFormat="1" ht="20.100000000000001" customHeight="1" x14ac:dyDescent="0.2">
      <c r="B1049" s="3"/>
      <c r="C1049" s="3"/>
      <c r="D1049" s="135"/>
      <c r="E1049" s="135"/>
      <c r="F1049" s="135"/>
      <c r="G1049" s="135"/>
      <c r="H1049" s="136"/>
      <c r="I1049" s="135"/>
    </row>
    <row r="1050" spans="2:9" s="117" customFormat="1" ht="20.100000000000001" customHeight="1" x14ac:dyDescent="0.2">
      <c r="B1050" s="3"/>
      <c r="C1050" s="3"/>
      <c r="D1050" s="135"/>
      <c r="E1050" s="135"/>
      <c r="F1050" s="135"/>
      <c r="G1050" s="135"/>
      <c r="H1050" s="136"/>
      <c r="I1050" s="135"/>
    </row>
    <row r="1051" spans="2:9" s="117" customFormat="1" ht="20.100000000000001" customHeight="1" x14ac:dyDescent="0.2">
      <c r="B1051" s="3"/>
      <c r="C1051" s="3"/>
      <c r="D1051" s="135"/>
      <c r="E1051" s="135"/>
      <c r="F1051" s="135"/>
      <c r="G1051" s="135"/>
      <c r="H1051" s="136"/>
      <c r="I1051" s="135"/>
    </row>
    <row r="1052" spans="2:9" s="117" customFormat="1" ht="20.100000000000001" customHeight="1" x14ac:dyDescent="0.2">
      <c r="B1052" s="3"/>
      <c r="C1052" s="3"/>
      <c r="D1052" s="135"/>
      <c r="E1052" s="135"/>
      <c r="F1052" s="135"/>
      <c r="G1052" s="135"/>
      <c r="H1052" s="136"/>
      <c r="I1052" s="135"/>
    </row>
    <row r="1053" spans="2:9" s="117" customFormat="1" ht="20.100000000000001" customHeight="1" x14ac:dyDescent="0.2">
      <c r="B1053" s="3"/>
      <c r="C1053" s="3"/>
      <c r="D1053" s="135"/>
      <c r="E1053" s="135"/>
      <c r="F1053" s="135"/>
      <c r="G1053" s="135"/>
      <c r="H1053" s="136"/>
      <c r="I1053" s="135"/>
    </row>
    <row r="1054" spans="2:9" s="117" customFormat="1" ht="20.100000000000001" customHeight="1" x14ac:dyDescent="0.2">
      <c r="B1054" s="3"/>
      <c r="C1054" s="3"/>
      <c r="D1054" s="135"/>
      <c r="E1054" s="135"/>
      <c r="F1054" s="135"/>
      <c r="G1054" s="135"/>
      <c r="H1054" s="136"/>
      <c r="I1054" s="135"/>
    </row>
    <row r="1055" spans="2:9" s="117" customFormat="1" ht="20.100000000000001" customHeight="1" x14ac:dyDescent="0.2">
      <c r="B1055" s="3"/>
      <c r="C1055" s="3"/>
      <c r="D1055" s="135"/>
      <c r="E1055" s="135"/>
      <c r="F1055" s="135"/>
      <c r="G1055" s="135"/>
      <c r="H1055" s="136"/>
      <c r="I1055" s="135"/>
    </row>
    <row r="1056" spans="2:9" s="117" customFormat="1" ht="20.100000000000001" customHeight="1" x14ac:dyDescent="0.2">
      <c r="B1056" s="3"/>
      <c r="C1056" s="3"/>
      <c r="D1056" s="135"/>
      <c r="E1056" s="135"/>
      <c r="F1056" s="135"/>
      <c r="G1056" s="135"/>
      <c r="H1056" s="136"/>
      <c r="I1056" s="135"/>
    </row>
    <row r="1057" spans="2:9" s="117" customFormat="1" ht="20.100000000000001" customHeight="1" x14ac:dyDescent="0.2">
      <c r="B1057" s="3"/>
      <c r="C1057" s="3"/>
      <c r="D1057" s="135"/>
      <c r="E1057" s="135"/>
      <c r="F1057" s="135"/>
      <c r="G1057" s="135"/>
      <c r="H1057" s="136"/>
      <c r="I1057" s="135"/>
    </row>
    <row r="1058" spans="2:9" s="117" customFormat="1" ht="20.100000000000001" customHeight="1" x14ac:dyDescent="0.2">
      <c r="B1058" s="3"/>
      <c r="C1058" s="3"/>
      <c r="D1058" s="135"/>
      <c r="E1058" s="135"/>
      <c r="F1058" s="135"/>
      <c r="G1058" s="135"/>
      <c r="H1058" s="136"/>
      <c r="I1058" s="135"/>
    </row>
    <row r="1059" spans="2:9" s="117" customFormat="1" ht="20.100000000000001" customHeight="1" x14ac:dyDescent="0.2">
      <c r="B1059" s="3"/>
      <c r="C1059" s="3"/>
      <c r="D1059" s="135"/>
      <c r="E1059" s="135"/>
      <c r="F1059" s="135"/>
      <c r="G1059" s="135"/>
      <c r="H1059" s="136"/>
      <c r="I1059" s="135"/>
    </row>
    <row r="1060" spans="2:9" s="117" customFormat="1" ht="20.100000000000001" customHeight="1" x14ac:dyDescent="0.2">
      <c r="B1060" s="3"/>
      <c r="C1060" s="3"/>
      <c r="D1060" s="135"/>
      <c r="E1060" s="135"/>
      <c r="F1060" s="135"/>
      <c r="G1060" s="135"/>
      <c r="H1060" s="136"/>
      <c r="I1060" s="135"/>
    </row>
    <row r="1061" spans="2:9" s="117" customFormat="1" ht="20.100000000000001" customHeight="1" x14ac:dyDescent="0.2">
      <c r="B1061" s="3"/>
      <c r="C1061" s="3"/>
      <c r="D1061" s="135"/>
      <c r="E1061" s="135"/>
      <c r="F1061" s="135"/>
      <c r="G1061" s="135"/>
      <c r="H1061" s="136"/>
      <c r="I1061" s="135"/>
    </row>
    <row r="1062" spans="2:9" s="117" customFormat="1" ht="20.100000000000001" customHeight="1" x14ac:dyDescent="0.2">
      <c r="B1062" s="3"/>
      <c r="C1062" s="3"/>
      <c r="D1062" s="135"/>
      <c r="E1062" s="135"/>
      <c r="F1062" s="135"/>
      <c r="G1062" s="135"/>
      <c r="H1062" s="136"/>
      <c r="I1062" s="135"/>
    </row>
    <row r="1063" spans="2:9" s="117" customFormat="1" ht="20.100000000000001" customHeight="1" x14ac:dyDescent="0.2">
      <c r="B1063" s="3"/>
      <c r="C1063" s="3"/>
      <c r="D1063" s="135"/>
      <c r="E1063" s="135"/>
      <c r="F1063" s="135"/>
      <c r="G1063" s="135"/>
      <c r="H1063" s="136"/>
      <c r="I1063" s="135"/>
    </row>
    <row r="1064" spans="2:9" s="117" customFormat="1" ht="20.100000000000001" customHeight="1" x14ac:dyDescent="0.2">
      <c r="B1064" s="3"/>
      <c r="C1064" s="3"/>
      <c r="D1064" s="135"/>
      <c r="E1064" s="135"/>
      <c r="F1064" s="135"/>
      <c r="G1064" s="135"/>
      <c r="H1064" s="136"/>
      <c r="I1064" s="135"/>
    </row>
    <row r="1065" spans="2:9" s="117" customFormat="1" ht="20.100000000000001" customHeight="1" x14ac:dyDescent="0.2">
      <c r="B1065" s="3"/>
      <c r="C1065" s="3"/>
      <c r="D1065" s="135"/>
      <c r="E1065" s="135"/>
      <c r="F1065" s="135"/>
      <c r="G1065" s="135"/>
      <c r="H1065" s="136"/>
      <c r="I1065" s="135"/>
    </row>
    <row r="1066" spans="2:9" s="117" customFormat="1" ht="20.100000000000001" customHeight="1" x14ac:dyDescent="0.2">
      <c r="B1066" s="3"/>
      <c r="C1066" s="3"/>
      <c r="D1066" s="135"/>
      <c r="E1066" s="135"/>
      <c r="F1066" s="135"/>
      <c r="G1066" s="135"/>
      <c r="H1066" s="136"/>
      <c r="I1066" s="135"/>
    </row>
    <row r="1067" spans="2:9" s="117" customFormat="1" ht="20.100000000000001" customHeight="1" x14ac:dyDescent="0.2">
      <c r="B1067" s="3"/>
      <c r="C1067" s="3"/>
      <c r="D1067" s="135"/>
      <c r="E1067" s="135"/>
      <c r="F1067" s="135"/>
      <c r="G1067" s="135"/>
      <c r="H1067" s="136"/>
      <c r="I1067" s="135"/>
    </row>
    <row r="1068" spans="2:9" s="117" customFormat="1" ht="20.100000000000001" customHeight="1" x14ac:dyDescent="0.2">
      <c r="B1068" s="3"/>
      <c r="C1068" s="3"/>
      <c r="D1068" s="135"/>
      <c r="E1068" s="135"/>
      <c r="F1068" s="135"/>
      <c r="G1068" s="135"/>
      <c r="H1068" s="136"/>
      <c r="I1068" s="135"/>
    </row>
    <row r="1069" spans="2:9" s="117" customFormat="1" ht="20.100000000000001" customHeight="1" x14ac:dyDescent="0.2">
      <c r="B1069" s="3"/>
      <c r="C1069" s="3"/>
      <c r="D1069" s="135"/>
      <c r="E1069" s="135"/>
      <c r="F1069" s="135"/>
      <c r="G1069" s="135"/>
      <c r="H1069" s="136"/>
      <c r="I1069" s="135"/>
    </row>
    <row r="1070" spans="2:9" s="117" customFormat="1" ht="20.100000000000001" customHeight="1" x14ac:dyDescent="0.2">
      <c r="B1070" s="3"/>
      <c r="C1070" s="3"/>
      <c r="D1070" s="135"/>
      <c r="E1070" s="135"/>
      <c r="F1070" s="135"/>
      <c r="G1070" s="135"/>
      <c r="H1070" s="136"/>
      <c r="I1070" s="135"/>
    </row>
    <row r="1071" spans="2:9" s="117" customFormat="1" ht="20.100000000000001" customHeight="1" x14ac:dyDescent="0.2">
      <c r="B1071" s="3"/>
      <c r="C1071" s="3"/>
      <c r="D1071" s="135"/>
      <c r="E1071" s="135"/>
      <c r="F1071" s="135"/>
      <c r="G1071" s="135"/>
      <c r="H1071" s="136"/>
      <c r="I1071" s="135"/>
    </row>
    <row r="1072" spans="2:9" s="117" customFormat="1" ht="20.100000000000001" customHeight="1" x14ac:dyDescent="0.2">
      <c r="B1072" s="3"/>
      <c r="C1072" s="3"/>
      <c r="D1072" s="135"/>
      <c r="E1072" s="135"/>
      <c r="F1072" s="135"/>
      <c r="G1072" s="135"/>
      <c r="H1072" s="136"/>
      <c r="I1072" s="135"/>
    </row>
    <row r="1073" spans="2:9" s="117" customFormat="1" ht="20.100000000000001" customHeight="1" x14ac:dyDescent="0.2">
      <c r="B1073" s="3"/>
      <c r="C1073" s="3"/>
      <c r="D1073" s="135"/>
      <c r="E1073" s="135"/>
      <c r="F1073" s="135"/>
      <c r="G1073" s="135"/>
      <c r="H1073" s="136"/>
      <c r="I1073" s="135"/>
    </row>
    <row r="1074" spans="2:9" s="117" customFormat="1" ht="20.100000000000001" customHeight="1" x14ac:dyDescent="0.2">
      <c r="B1074" s="3"/>
      <c r="C1074" s="3"/>
      <c r="D1074" s="135"/>
      <c r="E1074" s="135"/>
      <c r="F1074" s="135"/>
      <c r="G1074" s="135"/>
      <c r="H1074" s="136"/>
      <c r="I1074" s="135"/>
    </row>
    <row r="1075" spans="2:9" s="117" customFormat="1" ht="20.100000000000001" customHeight="1" x14ac:dyDescent="0.2">
      <c r="B1075" s="3"/>
      <c r="C1075" s="3"/>
      <c r="D1075" s="135"/>
      <c r="E1075" s="135"/>
      <c r="F1075" s="135"/>
      <c r="G1075" s="135"/>
      <c r="H1075" s="136"/>
      <c r="I1075" s="135"/>
    </row>
    <row r="1076" spans="2:9" s="117" customFormat="1" ht="20.100000000000001" customHeight="1" x14ac:dyDescent="0.2">
      <c r="B1076" s="3"/>
      <c r="C1076" s="3"/>
      <c r="D1076" s="135"/>
      <c r="E1076" s="135"/>
      <c r="F1076" s="135"/>
      <c r="G1076" s="135"/>
      <c r="H1076" s="136"/>
      <c r="I1076" s="135"/>
    </row>
    <row r="1077" spans="2:9" s="117" customFormat="1" ht="20.100000000000001" customHeight="1" x14ac:dyDescent="0.2">
      <c r="B1077" s="3"/>
      <c r="C1077" s="3"/>
      <c r="D1077" s="135"/>
      <c r="E1077" s="135"/>
      <c r="F1077" s="135"/>
      <c r="G1077" s="135"/>
      <c r="H1077" s="136"/>
      <c r="I1077" s="135"/>
    </row>
    <row r="1078" spans="2:9" s="117" customFormat="1" ht="20.100000000000001" customHeight="1" x14ac:dyDescent="0.2">
      <c r="B1078" s="3"/>
      <c r="C1078" s="3"/>
      <c r="D1078" s="135"/>
      <c r="E1078" s="135"/>
      <c r="F1078" s="135"/>
      <c r="G1078" s="135"/>
      <c r="H1078" s="136"/>
      <c r="I1078" s="135"/>
    </row>
    <row r="1079" spans="2:9" s="117" customFormat="1" ht="20.100000000000001" customHeight="1" x14ac:dyDescent="0.2">
      <c r="B1079" s="3"/>
      <c r="C1079" s="3"/>
      <c r="D1079" s="135"/>
      <c r="E1079" s="135"/>
      <c r="F1079" s="135"/>
      <c r="G1079" s="135"/>
      <c r="H1079" s="136"/>
      <c r="I1079" s="135"/>
    </row>
    <row r="1080" spans="2:9" s="117" customFormat="1" ht="20.100000000000001" customHeight="1" x14ac:dyDescent="0.2">
      <c r="B1080" s="3"/>
      <c r="C1080" s="3"/>
      <c r="D1080" s="135"/>
      <c r="E1080" s="135"/>
      <c r="F1080" s="135"/>
      <c r="G1080" s="135"/>
      <c r="H1080" s="136"/>
      <c r="I1080" s="135"/>
    </row>
    <row r="1081" spans="2:9" s="117" customFormat="1" ht="20.100000000000001" customHeight="1" x14ac:dyDescent="0.2">
      <c r="B1081" s="3"/>
      <c r="C1081" s="3"/>
      <c r="D1081" s="135"/>
      <c r="E1081" s="135"/>
      <c r="F1081" s="135"/>
      <c r="G1081" s="135"/>
      <c r="H1081" s="136"/>
      <c r="I1081" s="135"/>
    </row>
    <row r="1082" spans="2:9" s="117" customFormat="1" ht="20.100000000000001" customHeight="1" x14ac:dyDescent="0.2">
      <c r="B1082" s="3"/>
      <c r="C1082" s="3"/>
      <c r="D1082" s="135"/>
      <c r="E1082" s="135"/>
      <c r="F1082" s="135"/>
      <c r="G1082" s="135"/>
      <c r="H1082" s="136"/>
      <c r="I1082" s="135"/>
    </row>
    <row r="1083" spans="2:9" s="117" customFormat="1" ht="20.100000000000001" customHeight="1" x14ac:dyDescent="0.2">
      <c r="B1083" s="3"/>
      <c r="C1083" s="3"/>
      <c r="D1083" s="135"/>
      <c r="E1083" s="135"/>
      <c r="F1083" s="135"/>
      <c r="G1083" s="135"/>
      <c r="H1083" s="136"/>
      <c r="I1083" s="135"/>
    </row>
    <row r="1084" spans="2:9" s="117" customFormat="1" ht="20.100000000000001" customHeight="1" x14ac:dyDescent="0.2">
      <c r="B1084" s="3"/>
      <c r="C1084" s="3"/>
      <c r="D1084" s="135"/>
      <c r="E1084" s="135"/>
      <c r="F1084" s="135"/>
      <c r="G1084" s="135"/>
      <c r="H1084" s="136"/>
      <c r="I1084" s="135"/>
    </row>
    <row r="1085" spans="2:9" s="117" customFormat="1" ht="20.100000000000001" customHeight="1" x14ac:dyDescent="0.2">
      <c r="B1085" s="3"/>
      <c r="C1085" s="3"/>
      <c r="D1085" s="135"/>
      <c r="E1085" s="135"/>
      <c r="F1085" s="135"/>
      <c r="G1085" s="135"/>
      <c r="H1085" s="136"/>
      <c r="I1085" s="135"/>
    </row>
    <row r="1086" spans="2:9" s="117" customFormat="1" ht="20.100000000000001" customHeight="1" x14ac:dyDescent="0.2">
      <c r="B1086" s="3"/>
      <c r="C1086" s="3"/>
      <c r="D1086" s="135"/>
      <c r="E1086" s="135"/>
      <c r="F1086" s="135"/>
      <c r="G1086" s="135"/>
      <c r="H1086" s="136"/>
      <c r="I1086" s="135"/>
    </row>
    <row r="1087" spans="2:9" s="117" customFormat="1" ht="20.100000000000001" customHeight="1" x14ac:dyDescent="0.2">
      <c r="B1087" s="3"/>
      <c r="C1087" s="3"/>
      <c r="D1087" s="135"/>
      <c r="E1087" s="135"/>
      <c r="F1087" s="135"/>
      <c r="G1087" s="135"/>
      <c r="H1087" s="136"/>
      <c r="I1087" s="135"/>
    </row>
    <row r="1088" spans="2:9" s="117" customFormat="1" ht="20.100000000000001" customHeight="1" x14ac:dyDescent="0.2">
      <c r="B1088" s="3"/>
      <c r="C1088" s="3"/>
      <c r="D1088" s="135"/>
      <c r="E1088" s="135"/>
      <c r="F1088" s="135"/>
      <c r="G1088" s="135"/>
      <c r="H1088" s="136"/>
      <c r="I1088" s="135"/>
    </row>
    <row r="1089" spans="2:9" s="117" customFormat="1" ht="20.100000000000001" customHeight="1" x14ac:dyDescent="0.2">
      <c r="B1089" s="3"/>
      <c r="C1089" s="3"/>
      <c r="D1089" s="135"/>
      <c r="E1089" s="135"/>
      <c r="F1089" s="135"/>
      <c r="G1089" s="135"/>
      <c r="H1089" s="136"/>
      <c r="I1089" s="135"/>
    </row>
    <row r="1090" spans="2:9" s="117" customFormat="1" ht="20.100000000000001" customHeight="1" x14ac:dyDescent="0.2">
      <c r="B1090" s="3"/>
      <c r="C1090" s="3"/>
      <c r="D1090" s="135"/>
      <c r="E1090" s="135"/>
      <c r="F1090" s="135"/>
      <c r="G1090" s="135"/>
      <c r="H1090" s="136"/>
      <c r="I1090" s="135"/>
    </row>
    <row r="1091" spans="2:9" s="117" customFormat="1" ht="20.100000000000001" customHeight="1" x14ac:dyDescent="0.2">
      <c r="B1091" s="3"/>
      <c r="C1091" s="3"/>
      <c r="D1091" s="135"/>
      <c r="E1091" s="135"/>
      <c r="F1091" s="135"/>
      <c r="G1091" s="135"/>
      <c r="H1091" s="136"/>
      <c r="I1091" s="135"/>
    </row>
    <row r="1092" spans="2:9" s="117" customFormat="1" ht="20.100000000000001" customHeight="1" x14ac:dyDescent="0.2">
      <c r="B1092" s="3"/>
      <c r="C1092" s="3"/>
      <c r="D1092" s="135"/>
      <c r="E1092" s="135"/>
      <c r="F1092" s="135"/>
      <c r="G1092" s="135"/>
      <c r="H1092" s="136"/>
      <c r="I1092" s="135"/>
    </row>
    <row r="1093" spans="2:9" s="117" customFormat="1" ht="20.100000000000001" customHeight="1" x14ac:dyDescent="0.2">
      <c r="B1093" s="3"/>
      <c r="C1093" s="3"/>
      <c r="D1093" s="135"/>
      <c r="E1093" s="135"/>
      <c r="F1093" s="135"/>
      <c r="G1093" s="135"/>
      <c r="H1093" s="136"/>
      <c r="I1093" s="135"/>
    </row>
    <row r="1094" spans="2:9" s="117" customFormat="1" ht="20.100000000000001" customHeight="1" x14ac:dyDescent="0.2">
      <c r="B1094" s="3"/>
      <c r="C1094" s="3"/>
      <c r="D1094" s="135"/>
      <c r="E1094" s="135"/>
      <c r="F1094" s="135"/>
      <c r="G1094" s="135"/>
      <c r="H1094" s="136"/>
      <c r="I1094" s="135"/>
    </row>
    <row r="1095" spans="2:9" s="117" customFormat="1" ht="20.100000000000001" customHeight="1" x14ac:dyDescent="0.2">
      <c r="B1095" s="3"/>
      <c r="C1095" s="3"/>
      <c r="D1095" s="135"/>
      <c r="E1095" s="135"/>
      <c r="F1095" s="135"/>
      <c r="G1095" s="135"/>
      <c r="H1095" s="136"/>
      <c r="I1095" s="135"/>
    </row>
    <row r="1096" spans="2:9" s="117" customFormat="1" ht="20.100000000000001" customHeight="1" x14ac:dyDescent="0.2">
      <c r="B1096" s="3"/>
      <c r="C1096" s="3"/>
      <c r="D1096" s="135"/>
      <c r="E1096" s="135"/>
      <c r="F1096" s="135"/>
      <c r="G1096" s="135"/>
      <c r="H1096" s="136"/>
      <c r="I1096" s="135"/>
    </row>
    <row r="1097" spans="2:9" s="117" customFormat="1" ht="20.100000000000001" customHeight="1" x14ac:dyDescent="0.2">
      <c r="B1097" s="3"/>
      <c r="C1097" s="3"/>
      <c r="D1097" s="135"/>
      <c r="E1097" s="135"/>
      <c r="F1097" s="135"/>
      <c r="G1097" s="135"/>
      <c r="H1097" s="136"/>
      <c r="I1097" s="135"/>
    </row>
    <row r="1098" spans="2:9" s="117" customFormat="1" ht="20.100000000000001" customHeight="1" x14ac:dyDescent="0.2">
      <c r="B1098" s="3"/>
      <c r="C1098" s="3"/>
      <c r="D1098" s="135"/>
      <c r="E1098" s="135"/>
      <c r="F1098" s="135"/>
      <c r="G1098" s="135"/>
      <c r="H1098" s="136"/>
      <c r="I1098" s="135"/>
    </row>
    <row r="1099" spans="2:9" s="117" customFormat="1" ht="20.100000000000001" customHeight="1" x14ac:dyDescent="0.2">
      <c r="B1099" s="3"/>
      <c r="C1099" s="3"/>
      <c r="D1099" s="135"/>
      <c r="E1099" s="135"/>
      <c r="F1099" s="135"/>
      <c r="G1099" s="135"/>
      <c r="H1099" s="136"/>
      <c r="I1099" s="135"/>
    </row>
    <row r="1100" spans="2:9" s="117" customFormat="1" ht="20.100000000000001" customHeight="1" x14ac:dyDescent="0.2">
      <c r="B1100" s="3"/>
      <c r="C1100" s="3"/>
      <c r="D1100" s="135"/>
      <c r="E1100" s="135"/>
      <c r="F1100" s="135"/>
      <c r="G1100" s="135"/>
      <c r="H1100" s="136"/>
      <c r="I1100" s="135"/>
    </row>
    <row r="1101" spans="2:9" s="117" customFormat="1" ht="20.100000000000001" customHeight="1" x14ac:dyDescent="0.2">
      <c r="B1101" s="3"/>
      <c r="C1101" s="3"/>
      <c r="D1101" s="135"/>
      <c r="E1101" s="135"/>
      <c r="F1101" s="135"/>
      <c r="G1101" s="135"/>
      <c r="H1101" s="136"/>
      <c r="I1101" s="135"/>
    </row>
    <row r="1102" spans="2:9" s="117" customFormat="1" ht="20.100000000000001" customHeight="1" x14ac:dyDescent="0.2">
      <c r="B1102" s="3"/>
      <c r="C1102" s="3"/>
      <c r="D1102" s="135"/>
      <c r="E1102" s="135"/>
      <c r="F1102" s="135"/>
      <c r="G1102" s="135"/>
      <c r="H1102" s="136"/>
      <c r="I1102" s="135"/>
    </row>
    <row r="1103" spans="2:9" s="117" customFormat="1" ht="20.100000000000001" customHeight="1" x14ac:dyDescent="0.2">
      <c r="B1103" s="3"/>
      <c r="C1103" s="3"/>
      <c r="D1103" s="135"/>
      <c r="E1103" s="135"/>
      <c r="F1103" s="135"/>
      <c r="G1103" s="135"/>
      <c r="H1103" s="136"/>
      <c r="I1103" s="135"/>
    </row>
    <row r="1104" spans="2:9" s="117" customFormat="1" ht="20.100000000000001" customHeight="1" x14ac:dyDescent="0.2">
      <c r="B1104" s="3"/>
      <c r="C1104" s="3"/>
      <c r="D1104" s="135"/>
      <c r="E1104" s="135"/>
      <c r="F1104" s="135"/>
      <c r="G1104" s="135"/>
      <c r="H1104" s="136"/>
      <c r="I1104" s="135"/>
    </row>
    <row r="1105" spans="2:9" s="117" customFormat="1" ht="20.100000000000001" customHeight="1" x14ac:dyDescent="0.2">
      <c r="B1105" s="3"/>
      <c r="C1105" s="3"/>
      <c r="D1105" s="135"/>
      <c r="E1105" s="135"/>
      <c r="F1105" s="135"/>
      <c r="G1105" s="135"/>
      <c r="H1105" s="136"/>
      <c r="I1105" s="135"/>
    </row>
    <row r="1106" spans="2:9" s="117" customFormat="1" ht="20.100000000000001" customHeight="1" x14ac:dyDescent="0.2">
      <c r="B1106" s="3"/>
      <c r="C1106" s="3"/>
      <c r="D1106" s="135"/>
      <c r="E1106" s="135"/>
      <c r="F1106" s="135"/>
      <c r="G1106" s="135"/>
      <c r="H1106" s="136"/>
      <c r="I1106" s="135"/>
    </row>
    <row r="1107" spans="2:9" s="117" customFormat="1" ht="20.100000000000001" customHeight="1" x14ac:dyDescent="0.2">
      <c r="B1107" s="3"/>
      <c r="C1107" s="3"/>
      <c r="D1107" s="135"/>
      <c r="E1107" s="135"/>
      <c r="F1107" s="135"/>
      <c r="G1107" s="135"/>
      <c r="H1107" s="136"/>
      <c r="I1107" s="135"/>
    </row>
    <row r="1108" spans="2:9" s="117" customFormat="1" ht="20.100000000000001" customHeight="1" x14ac:dyDescent="0.2">
      <c r="B1108" s="3"/>
      <c r="C1108" s="3"/>
      <c r="D1108" s="135"/>
      <c r="E1108" s="135"/>
      <c r="F1108" s="135"/>
      <c r="G1108" s="135"/>
      <c r="H1108" s="136"/>
      <c r="I1108" s="135"/>
    </row>
    <row r="1109" spans="2:9" s="117" customFormat="1" ht="20.100000000000001" customHeight="1" x14ac:dyDescent="0.2">
      <c r="B1109" s="3"/>
      <c r="C1109" s="3"/>
      <c r="D1109" s="135"/>
      <c r="E1109" s="135"/>
      <c r="F1109" s="135"/>
      <c r="G1109" s="135"/>
      <c r="H1109" s="136"/>
      <c r="I1109" s="135"/>
    </row>
    <row r="1110" spans="2:9" s="117" customFormat="1" ht="20.100000000000001" customHeight="1" x14ac:dyDescent="0.2">
      <c r="B1110" s="3"/>
      <c r="C1110" s="3"/>
      <c r="D1110" s="135"/>
      <c r="E1110" s="135"/>
      <c r="F1110" s="135"/>
      <c r="G1110" s="135"/>
      <c r="H1110" s="136"/>
      <c r="I1110" s="135"/>
    </row>
    <row r="1111" spans="2:9" s="117" customFormat="1" ht="20.100000000000001" customHeight="1" x14ac:dyDescent="0.2">
      <c r="B1111" s="3"/>
      <c r="C1111" s="3"/>
      <c r="D1111" s="135"/>
      <c r="E1111" s="135"/>
      <c r="F1111" s="135"/>
      <c r="G1111" s="135"/>
      <c r="H1111" s="136"/>
      <c r="I1111" s="135"/>
    </row>
    <row r="1112" spans="2:9" s="117" customFormat="1" ht="20.100000000000001" customHeight="1" x14ac:dyDescent="0.2">
      <c r="B1112" s="3"/>
      <c r="C1112" s="3"/>
      <c r="D1112" s="135"/>
      <c r="E1112" s="135"/>
      <c r="F1112" s="135"/>
      <c r="G1112" s="135"/>
      <c r="H1112" s="136"/>
      <c r="I1112" s="135"/>
    </row>
    <row r="1113" spans="2:9" s="117" customFormat="1" ht="20.100000000000001" customHeight="1" x14ac:dyDescent="0.2">
      <c r="B1113" s="3"/>
      <c r="C1113" s="3"/>
      <c r="D1113" s="135"/>
      <c r="E1113" s="135"/>
      <c r="F1113" s="135"/>
      <c r="G1113" s="135"/>
      <c r="H1113" s="136"/>
      <c r="I1113" s="135"/>
    </row>
    <row r="1114" spans="2:9" s="117" customFormat="1" ht="20.100000000000001" customHeight="1" x14ac:dyDescent="0.2">
      <c r="B1114" s="3"/>
      <c r="C1114" s="3"/>
      <c r="D1114" s="135"/>
      <c r="E1114" s="135"/>
      <c r="F1114" s="135"/>
      <c r="G1114" s="135"/>
      <c r="H1114" s="136"/>
      <c r="I1114" s="135"/>
    </row>
    <row r="1115" spans="2:9" s="117" customFormat="1" ht="20.100000000000001" customHeight="1" x14ac:dyDescent="0.2">
      <c r="B1115" s="3"/>
      <c r="C1115" s="3"/>
      <c r="D1115" s="135"/>
      <c r="E1115" s="135"/>
      <c r="F1115" s="135"/>
      <c r="G1115" s="135"/>
      <c r="H1115" s="136"/>
      <c r="I1115" s="135"/>
    </row>
    <row r="1116" spans="2:9" s="117" customFormat="1" ht="20.100000000000001" customHeight="1" x14ac:dyDescent="0.2">
      <c r="B1116" s="3"/>
      <c r="C1116" s="3"/>
      <c r="D1116" s="135"/>
      <c r="E1116" s="135"/>
      <c r="F1116" s="135"/>
      <c r="G1116" s="135"/>
      <c r="H1116" s="136"/>
      <c r="I1116" s="135"/>
    </row>
    <row r="1117" spans="2:9" s="117" customFormat="1" ht="20.100000000000001" customHeight="1" x14ac:dyDescent="0.2">
      <c r="B1117" s="3"/>
      <c r="C1117" s="3"/>
      <c r="D1117" s="135"/>
      <c r="E1117" s="135"/>
      <c r="F1117" s="135"/>
      <c r="G1117" s="135"/>
      <c r="H1117" s="136"/>
      <c r="I1117" s="135"/>
    </row>
    <row r="1118" spans="2:9" s="117" customFormat="1" ht="20.100000000000001" customHeight="1" x14ac:dyDescent="0.2">
      <c r="B1118" s="3"/>
      <c r="C1118" s="3"/>
      <c r="D1118" s="135"/>
      <c r="E1118" s="135"/>
      <c r="F1118" s="135"/>
      <c r="G1118" s="135"/>
      <c r="H1118" s="136"/>
      <c r="I1118" s="135"/>
    </row>
    <row r="1119" spans="2:9" s="117" customFormat="1" ht="20.100000000000001" customHeight="1" x14ac:dyDescent="0.2">
      <c r="B1119" s="3"/>
      <c r="C1119" s="3"/>
      <c r="D1119" s="135"/>
      <c r="E1119" s="135"/>
      <c r="F1119" s="135"/>
      <c r="G1119" s="135"/>
      <c r="H1119" s="136"/>
      <c r="I1119" s="135"/>
    </row>
    <row r="1120" spans="2:9" s="117" customFormat="1" ht="20.100000000000001" customHeight="1" x14ac:dyDescent="0.2">
      <c r="B1120" s="3"/>
      <c r="C1120" s="3"/>
      <c r="D1120" s="135"/>
      <c r="E1120" s="135"/>
      <c r="F1120" s="135"/>
      <c r="G1120" s="135"/>
      <c r="H1120" s="136"/>
      <c r="I1120" s="135"/>
    </row>
    <row r="1121" spans="2:9" s="117" customFormat="1" ht="20.100000000000001" customHeight="1" x14ac:dyDescent="0.2">
      <c r="B1121" s="3"/>
      <c r="C1121" s="3"/>
      <c r="D1121" s="135"/>
      <c r="E1121" s="135"/>
      <c r="F1121" s="135"/>
      <c r="G1121" s="135"/>
      <c r="H1121" s="136"/>
      <c r="I1121" s="135"/>
    </row>
    <row r="1122" spans="2:9" s="117" customFormat="1" ht="20.100000000000001" customHeight="1" x14ac:dyDescent="0.2">
      <c r="B1122" s="3"/>
      <c r="C1122" s="3"/>
      <c r="D1122" s="135"/>
      <c r="E1122" s="135"/>
      <c r="F1122" s="135"/>
      <c r="G1122" s="135"/>
      <c r="H1122" s="136"/>
      <c r="I1122" s="135"/>
    </row>
    <row r="1123" spans="2:9" s="117" customFormat="1" ht="20.100000000000001" customHeight="1" x14ac:dyDescent="0.2">
      <c r="B1123" s="3"/>
      <c r="C1123" s="3"/>
      <c r="D1123" s="135"/>
      <c r="E1123" s="135"/>
      <c r="F1123" s="135"/>
      <c r="G1123" s="135"/>
      <c r="H1123" s="136"/>
      <c r="I1123" s="135"/>
    </row>
    <row r="1124" spans="2:9" s="117" customFormat="1" ht="20.100000000000001" customHeight="1" x14ac:dyDescent="0.2">
      <c r="B1124" s="3"/>
      <c r="C1124" s="3"/>
      <c r="D1124" s="135"/>
      <c r="E1124" s="135"/>
      <c r="F1124" s="135"/>
      <c r="G1124" s="135"/>
      <c r="H1124" s="136"/>
      <c r="I1124" s="135"/>
    </row>
    <row r="1125" spans="2:9" s="117" customFormat="1" ht="20.100000000000001" customHeight="1" x14ac:dyDescent="0.2">
      <c r="B1125" s="3"/>
      <c r="C1125" s="3"/>
      <c r="D1125" s="135"/>
      <c r="E1125" s="135"/>
      <c r="F1125" s="135"/>
      <c r="G1125" s="135"/>
      <c r="H1125" s="136"/>
      <c r="I1125" s="135"/>
    </row>
    <row r="1126" spans="2:9" s="117" customFormat="1" ht="20.100000000000001" customHeight="1" x14ac:dyDescent="0.2">
      <c r="B1126" s="3"/>
      <c r="C1126" s="3"/>
      <c r="D1126" s="135"/>
      <c r="E1126" s="135"/>
      <c r="F1126" s="135"/>
      <c r="G1126" s="135"/>
      <c r="H1126" s="136"/>
      <c r="I1126" s="135"/>
    </row>
    <row r="1127" spans="2:9" s="117" customFormat="1" ht="20.100000000000001" customHeight="1" x14ac:dyDescent="0.2">
      <c r="B1127" s="3"/>
      <c r="C1127" s="3"/>
      <c r="D1127" s="135"/>
      <c r="E1127" s="135"/>
      <c r="F1127" s="135"/>
      <c r="G1127" s="135"/>
      <c r="H1127" s="136"/>
      <c r="I1127" s="135"/>
    </row>
    <row r="1128" spans="2:9" s="117" customFormat="1" ht="20.100000000000001" customHeight="1" x14ac:dyDescent="0.2">
      <c r="B1128" s="3"/>
      <c r="C1128" s="3"/>
      <c r="D1128" s="135"/>
      <c r="E1128" s="135"/>
      <c r="F1128" s="135"/>
      <c r="G1128" s="135"/>
      <c r="H1128" s="136"/>
      <c r="I1128" s="135"/>
    </row>
    <row r="1129" spans="2:9" s="117" customFormat="1" ht="20.100000000000001" customHeight="1" x14ac:dyDescent="0.2">
      <c r="B1129" s="3"/>
      <c r="C1129" s="3"/>
      <c r="D1129" s="135"/>
      <c r="E1129" s="135"/>
      <c r="F1129" s="135"/>
      <c r="G1129" s="135"/>
      <c r="H1129" s="136"/>
      <c r="I1129" s="135"/>
    </row>
    <row r="1130" spans="2:9" s="117" customFormat="1" ht="20.100000000000001" customHeight="1" x14ac:dyDescent="0.2">
      <c r="B1130" s="3"/>
      <c r="C1130" s="3"/>
      <c r="D1130" s="135"/>
      <c r="E1130" s="135"/>
      <c r="F1130" s="135"/>
      <c r="G1130" s="135"/>
      <c r="H1130" s="136"/>
      <c r="I1130" s="135"/>
    </row>
    <row r="1131" spans="2:9" s="117" customFormat="1" ht="20.100000000000001" customHeight="1" x14ac:dyDescent="0.2">
      <c r="B1131" s="3"/>
      <c r="C1131" s="3"/>
      <c r="D1131" s="135"/>
      <c r="E1131" s="135"/>
      <c r="F1131" s="135"/>
      <c r="G1131" s="135"/>
      <c r="H1131" s="136"/>
      <c r="I1131" s="135"/>
    </row>
    <row r="1132" spans="2:9" s="117" customFormat="1" ht="20.100000000000001" customHeight="1" x14ac:dyDescent="0.2">
      <c r="B1132" s="3"/>
      <c r="C1132" s="3"/>
      <c r="D1132" s="135"/>
      <c r="E1132" s="135"/>
      <c r="F1132" s="135"/>
      <c r="G1132" s="135"/>
      <c r="H1132" s="136"/>
      <c r="I1132" s="135"/>
    </row>
    <row r="1133" spans="2:9" s="117" customFormat="1" ht="20.100000000000001" customHeight="1" x14ac:dyDescent="0.2">
      <c r="B1133" s="3"/>
      <c r="C1133" s="3"/>
      <c r="D1133" s="135"/>
      <c r="E1133" s="135"/>
      <c r="F1133" s="135"/>
      <c r="G1133" s="135"/>
      <c r="H1133" s="136"/>
      <c r="I1133" s="135"/>
    </row>
    <row r="1134" spans="2:9" s="117" customFormat="1" ht="20.100000000000001" customHeight="1" x14ac:dyDescent="0.2">
      <c r="B1134" s="3"/>
      <c r="C1134" s="3"/>
      <c r="D1134" s="135"/>
      <c r="E1134" s="135"/>
      <c r="F1134" s="135"/>
      <c r="G1134" s="135"/>
      <c r="H1134" s="136"/>
      <c r="I1134" s="135"/>
    </row>
    <row r="1135" spans="2:9" s="117" customFormat="1" ht="20.100000000000001" customHeight="1" x14ac:dyDescent="0.2">
      <c r="B1135" s="3"/>
      <c r="C1135" s="3"/>
      <c r="D1135" s="135"/>
      <c r="E1135" s="135"/>
      <c r="F1135" s="135"/>
      <c r="G1135" s="135"/>
      <c r="H1135" s="136"/>
      <c r="I1135" s="135"/>
    </row>
    <row r="1136" spans="2:9" s="117" customFormat="1" ht="20.100000000000001" customHeight="1" x14ac:dyDescent="0.2">
      <c r="B1136" s="3"/>
      <c r="C1136" s="3"/>
      <c r="D1136" s="135"/>
      <c r="E1136" s="135"/>
      <c r="F1136" s="135"/>
      <c r="G1136" s="135"/>
      <c r="H1136" s="136"/>
      <c r="I1136" s="135"/>
    </row>
    <row r="1137" spans="2:9" s="117" customFormat="1" ht="20.100000000000001" customHeight="1" x14ac:dyDescent="0.2">
      <c r="B1137" s="3"/>
      <c r="C1137" s="3"/>
      <c r="D1137" s="135"/>
      <c r="E1137" s="135"/>
      <c r="F1137" s="135"/>
      <c r="G1137" s="135"/>
      <c r="H1137" s="136"/>
      <c r="I1137" s="135"/>
    </row>
    <row r="1138" spans="2:9" s="117" customFormat="1" ht="20.100000000000001" customHeight="1" x14ac:dyDescent="0.2">
      <c r="B1138" s="3"/>
      <c r="C1138" s="3"/>
      <c r="D1138" s="135"/>
      <c r="E1138" s="135"/>
      <c r="F1138" s="135"/>
      <c r="G1138" s="135"/>
      <c r="H1138" s="136"/>
      <c r="I1138" s="135"/>
    </row>
    <row r="1139" spans="2:9" s="117" customFormat="1" ht="20.100000000000001" customHeight="1" x14ac:dyDescent="0.2">
      <c r="B1139" s="3"/>
      <c r="C1139" s="3"/>
      <c r="D1139" s="135"/>
      <c r="E1139" s="135"/>
      <c r="F1139" s="135"/>
      <c r="G1139" s="135"/>
      <c r="H1139" s="136"/>
      <c r="I1139" s="135"/>
    </row>
    <row r="1140" spans="2:9" s="117" customFormat="1" ht="20.100000000000001" customHeight="1" x14ac:dyDescent="0.2">
      <c r="B1140" s="3"/>
      <c r="C1140" s="3"/>
      <c r="D1140" s="135"/>
      <c r="E1140" s="135"/>
      <c r="F1140" s="135"/>
      <c r="G1140" s="135"/>
      <c r="H1140" s="136"/>
      <c r="I1140" s="135"/>
    </row>
    <row r="1141" spans="2:9" s="117" customFormat="1" ht="20.100000000000001" customHeight="1" x14ac:dyDescent="0.2">
      <c r="B1141" s="3"/>
      <c r="C1141" s="3"/>
      <c r="D1141" s="135"/>
      <c r="E1141" s="135"/>
      <c r="F1141" s="135"/>
      <c r="G1141" s="135"/>
      <c r="H1141" s="136"/>
      <c r="I1141" s="135"/>
    </row>
    <row r="1142" spans="2:9" s="117" customFormat="1" ht="20.100000000000001" customHeight="1" x14ac:dyDescent="0.2">
      <c r="B1142" s="3"/>
      <c r="C1142" s="3"/>
      <c r="D1142" s="135"/>
      <c r="E1142" s="135"/>
      <c r="F1142" s="135"/>
      <c r="G1142" s="135"/>
      <c r="H1142" s="136"/>
      <c r="I1142" s="135"/>
    </row>
    <row r="1143" spans="2:9" s="117" customFormat="1" ht="20.100000000000001" customHeight="1" x14ac:dyDescent="0.2">
      <c r="B1143" s="3"/>
      <c r="C1143" s="3"/>
      <c r="D1143" s="135"/>
      <c r="E1143" s="135"/>
      <c r="F1143" s="135"/>
      <c r="G1143" s="135"/>
      <c r="H1143" s="136"/>
      <c r="I1143" s="135"/>
    </row>
    <row r="1144" spans="2:9" s="117" customFormat="1" ht="20.100000000000001" customHeight="1" x14ac:dyDescent="0.2">
      <c r="B1144" s="3"/>
      <c r="C1144" s="3"/>
      <c r="D1144" s="135"/>
      <c r="E1144" s="135"/>
      <c r="F1144" s="135"/>
      <c r="G1144" s="135"/>
      <c r="H1144" s="136"/>
      <c r="I1144" s="135"/>
    </row>
    <row r="1145" spans="2:9" s="117" customFormat="1" ht="20.100000000000001" customHeight="1" x14ac:dyDescent="0.2">
      <c r="B1145" s="3"/>
      <c r="C1145" s="3"/>
      <c r="D1145" s="135"/>
      <c r="E1145" s="135"/>
      <c r="F1145" s="135"/>
      <c r="G1145" s="135"/>
      <c r="H1145" s="136"/>
      <c r="I1145" s="135"/>
    </row>
    <row r="1146" spans="2:9" s="117" customFormat="1" ht="20.100000000000001" customHeight="1" x14ac:dyDescent="0.2">
      <c r="B1146" s="3"/>
      <c r="C1146" s="3"/>
      <c r="D1146" s="135"/>
      <c r="E1146" s="135"/>
      <c r="F1146" s="135"/>
      <c r="G1146" s="135"/>
      <c r="H1146" s="136"/>
      <c r="I1146" s="135"/>
    </row>
    <row r="1147" spans="2:9" s="117" customFormat="1" ht="20.100000000000001" customHeight="1" x14ac:dyDescent="0.2">
      <c r="B1147" s="3"/>
      <c r="C1147" s="3"/>
      <c r="D1147" s="135"/>
      <c r="E1147" s="135"/>
      <c r="F1147" s="135"/>
      <c r="G1147" s="135"/>
      <c r="H1147" s="136"/>
      <c r="I1147" s="135"/>
    </row>
    <row r="1148" spans="2:9" s="117" customFormat="1" ht="20.100000000000001" customHeight="1" x14ac:dyDescent="0.2">
      <c r="B1148" s="3"/>
      <c r="C1148" s="3"/>
      <c r="D1148" s="135"/>
      <c r="E1148" s="135"/>
      <c r="F1148" s="135"/>
      <c r="G1148" s="135"/>
      <c r="H1148" s="136"/>
      <c r="I1148" s="135"/>
    </row>
    <row r="1149" spans="2:9" s="117" customFormat="1" ht="20.100000000000001" customHeight="1" x14ac:dyDescent="0.2">
      <c r="B1149" s="3"/>
      <c r="C1149" s="3"/>
      <c r="D1149" s="135"/>
      <c r="E1149" s="135"/>
      <c r="F1149" s="135"/>
      <c r="G1149" s="135"/>
      <c r="H1149" s="136"/>
      <c r="I1149" s="135"/>
    </row>
    <row r="1150" spans="2:9" s="117" customFormat="1" ht="20.100000000000001" customHeight="1" x14ac:dyDescent="0.2">
      <c r="B1150" s="3"/>
      <c r="C1150" s="3"/>
      <c r="D1150" s="135"/>
      <c r="E1150" s="135"/>
      <c r="F1150" s="135"/>
      <c r="G1150" s="135"/>
      <c r="H1150" s="136"/>
      <c r="I1150" s="135"/>
    </row>
    <row r="1151" spans="2:9" s="117" customFormat="1" ht="20.100000000000001" customHeight="1" x14ac:dyDescent="0.2">
      <c r="B1151" s="3"/>
      <c r="C1151" s="3"/>
      <c r="D1151" s="135"/>
      <c r="E1151" s="135"/>
      <c r="F1151" s="135"/>
      <c r="G1151" s="135"/>
      <c r="H1151" s="136"/>
      <c r="I1151" s="135"/>
    </row>
    <row r="1152" spans="2:9" s="117" customFormat="1" ht="20.100000000000001" customHeight="1" x14ac:dyDescent="0.2">
      <c r="B1152" s="3"/>
      <c r="C1152" s="3"/>
      <c r="D1152" s="135"/>
      <c r="E1152" s="135"/>
      <c r="F1152" s="135"/>
      <c r="G1152" s="135"/>
      <c r="H1152" s="136"/>
      <c r="I1152" s="135"/>
    </row>
    <row r="1153" spans="2:9" s="117" customFormat="1" ht="20.100000000000001" customHeight="1" x14ac:dyDescent="0.2">
      <c r="B1153" s="3"/>
      <c r="C1153" s="3"/>
      <c r="D1153" s="135"/>
      <c r="E1153" s="135"/>
      <c r="F1153" s="135"/>
      <c r="G1153" s="135"/>
      <c r="H1153" s="136"/>
      <c r="I1153" s="135"/>
    </row>
    <row r="1154" spans="2:9" s="117" customFormat="1" ht="20.100000000000001" customHeight="1" x14ac:dyDescent="0.2">
      <c r="B1154" s="3"/>
      <c r="C1154" s="3"/>
      <c r="D1154" s="135"/>
      <c r="E1154" s="135"/>
      <c r="F1154" s="135"/>
      <c r="G1154" s="135"/>
      <c r="H1154" s="136"/>
      <c r="I1154" s="135"/>
    </row>
    <row r="1155" spans="2:9" s="117" customFormat="1" ht="20.100000000000001" customHeight="1" x14ac:dyDescent="0.2">
      <c r="B1155" s="3"/>
      <c r="C1155" s="3"/>
      <c r="D1155" s="135"/>
      <c r="E1155" s="135"/>
      <c r="F1155" s="135"/>
      <c r="G1155" s="135"/>
      <c r="H1155" s="136"/>
      <c r="I1155" s="135"/>
    </row>
    <row r="1156" spans="2:9" s="117" customFormat="1" ht="20.100000000000001" customHeight="1" x14ac:dyDescent="0.2">
      <c r="B1156" s="3"/>
      <c r="C1156" s="3"/>
      <c r="D1156" s="135"/>
      <c r="E1156" s="135"/>
      <c r="F1156" s="135"/>
      <c r="G1156" s="135"/>
      <c r="H1156" s="136"/>
      <c r="I1156" s="135"/>
    </row>
    <row r="1157" spans="2:9" s="117" customFormat="1" ht="20.100000000000001" customHeight="1" x14ac:dyDescent="0.2">
      <c r="B1157" s="3"/>
      <c r="C1157" s="3"/>
      <c r="D1157" s="135"/>
      <c r="E1157" s="135"/>
      <c r="F1157" s="135"/>
      <c r="G1157" s="135"/>
      <c r="H1157" s="136"/>
      <c r="I1157" s="135"/>
    </row>
    <row r="1158" spans="2:9" s="117" customFormat="1" ht="20.100000000000001" customHeight="1" x14ac:dyDescent="0.2">
      <c r="B1158" s="3"/>
      <c r="C1158" s="3"/>
      <c r="D1158" s="135"/>
      <c r="E1158" s="135"/>
      <c r="F1158" s="135"/>
      <c r="G1158" s="135"/>
      <c r="H1158" s="136"/>
      <c r="I1158" s="135"/>
    </row>
    <row r="1159" spans="2:9" s="117" customFormat="1" ht="20.100000000000001" customHeight="1" x14ac:dyDescent="0.2">
      <c r="B1159" s="3"/>
      <c r="C1159" s="3"/>
      <c r="D1159" s="135"/>
      <c r="E1159" s="135"/>
      <c r="F1159" s="135"/>
      <c r="G1159" s="135"/>
      <c r="H1159" s="136"/>
      <c r="I1159" s="135"/>
    </row>
    <row r="1160" spans="2:9" s="117" customFormat="1" ht="20.100000000000001" customHeight="1" x14ac:dyDescent="0.2">
      <c r="B1160" s="3"/>
      <c r="C1160" s="3"/>
      <c r="D1160" s="135"/>
      <c r="E1160" s="135"/>
      <c r="F1160" s="135"/>
      <c r="G1160" s="135"/>
      <c r="H1160" s="136"/>
      <c r="I1160" s="135"/>
    </row>
    <row r="1161" spans="2:9" s="117" customFormat="1" ht="20.100000000000001" customHeight="1" x14ac:dyDescent="0.2">
      <c r="B1161" s="3"/>
      <c r="C1161" s="3"/>
      <c r="D1161" s="135"/>
      <c r="E1161" s="135"/>
      <c r="F1161" s="135"/>
      <c r="G1161" s="135"/>
      <c r="H1161" s="136"/>
      <c r="I1161" s="135"/>
    </row>
    <row r="1162" spans="2:9" s="117" customFormat="1" ht="20.100000000000001" customHeight="1" x14ac:dyDescent="0.2">
      <c r="B1162" s="3"/>
      <c r="C1162" s="3"/>
      <c r="D1162" s="135"/>
      <c r="E1162" s="135"/>
      <c r="F1162" s="135"/>
      <c r="G1162" s="135"/>
      <c r="H1162" s="136"/>
      <c r="I1162" s="135"/>
    </row>
    <row r="1163" spans="2:9" s="117" customFormat="1" ht="20.100000000000001" customHeight="1" x14ac:dyDescent="0.2">
      <c r="B1163" s="3"/>
      <c r="C1163" s="3"/>
      <c r="D1163" s="135"/>
      <c r="E1163" s="135"/>
      <c r="F1163" s="135"/>
      <c r="G1163" s="135"/>
      <c r="H1163" s="136"/>
      <c r="I1163" s="135"/>
    </row>
    <row r="1164" spans="2:9" s="117" customFormat="1" ht="20.100000000000001" customHeight="1" x14ac:dyDescent="0.2">
      <c r="B1164" s="3"/>
      <c r="C1164" s="3"/>
      <c r="D1164" s="135"/>
      <c r="E1164" s="135"/>
      <c r="F1164" s="135"/>
      <c r="G1164" s="135"/>
      <c r="H1164" s="136"/>
      <c r="I1164" s="135"/>
    </row>
    <row r="1165" spans="2:9" s="117" customFormat="1" ht="20.100000000000001" customHeight="1" x14ac:dyDescent="0.2">
      <c r="B1165" s="3"/>
      <c r="C1165" s="3"/>
      <c r="D1165" s="135"/>
      <c r="E1165" s="135"/>
      <c r="F1165" s="135"/>
      <c r="G1165" s="135"/>
      <c r="H1165" s="136"/>
      <c r="I1165" s="135"/>
    </row>
    <row r="1166" spans="2:9" s="117" customFormat="1" ht="20.100000000000001" customHeight="1" x14ac:dyDescent="0.2">
      <c r="B1166" s="3"/>
      <c r="C1166" s="3"/>
      <c r="D1166" s="135"/>
      <c r="E1166" s="135"/>
      <c r="F1166" s="135"/>
      <c r="G1166" s="135"/>
      <c r="H1166" s="136"/>
      <c r="I1166" s="135"/>
    </row>
    <row r="1167" spans="2:9" s="117" customFormat="1" ht="20.100000000000001" customHeight="1" x14ac:dyDescent="0.2">
      <c r="B1167" s="3"/>
      <c r="C1167" s="3"/>
      <c r="D1167" s="135"/>
      <c r="E1167" s="135"/>
      <c r="F1167" s="135"/>
      <c r="G1167" s="135"/>
      <c r="H1167" s="136"/>
      <c r="I1167" s="135"/>
    </row>
    <row r="1168" spans="2:9" s="117" customFormat="1" ht="20.100000000000001" customHeight="1" x14ac:dyDescent="0.2">
      <c r="B1168" s="3"/>
      <c r="C1168" s="3"/>
      <c r="D1168" s="135"/>
      <c r="E1168" s="135"/>
      <c r="F1168" s="135"/>
      <c r="G1168" s="135"/>
      <c r="H1168" s="136"/>
      <c r="I1168" s="135"/>
    </row>
    <row r="1169" spans="2:9" s="117" customFormat="1" ht="20.100000000000001" customHeight="1" x14ac:dyDescent="0.2">
      <c r="B1169" s="3"/>
      <c r="C1169" s="3"/>
      <c r="D1169" s="135"/>
      <c r="E1169" s="135"/>
      <c r="F1169" s="135"/>
      <c r="G1169" s="135"/>
      <c r="H1169" s="136"/>
      <c r="I1169" s="135"/>
    </row>
    <row r="1170" spans="2:9" s="117" customFormat="1" ht="20.100000000000001" customHeight="1" x14ac:dyDescent="0.2">
      <c r="B1170" s="3"/>
      <c r="C1170" s="3"/>
      <c r="D1170" s="135"/>
      <c r="E1170" s="135"/>
      <c r="F1170" s="135"/>
      <c r="G1170" s="135"/>
      <c r="H1170" s="136"/>
      <c r="I1170" s="135"/>
    </row>
    <row r="1171" spans="2:9" s="117" customFormat="1" ht="20.100000000000001" customHeight="1" x14ac:dyDescent="0.2">
      <c r="B1171" s="3"/>
      <c r="C1171" s="3"/>
      <c r="D1171" s="135"/>
      <c r="E1171" s="135"/>
      <c r="F1171" s="135"/>
      <c r="G1171" s="135"/>
      <c r="H1171" s="136"/>
      <c r="I1171" s="135"/>
    </row>
    <row r="1172" spans="2:9" s="117" customFormat="1" ht="20.100000000000001" customHeight="1" x14ac:dyDescent="0.2">
      <c r="B1172" s="3"/>
      <c r="C1172" s="3"/>
      <c r="D1172" s="135"/>
      <c r="E1172" s="135"/>
      <c r="F1172" s="135"/>
      <c r="G1172" s="135"/>
      <c r="H1172" s="136"/>
      <c r="I1172" s="135"/>
    </row>
    <row r="1173" spans="2:9" s="117" customFormat="1" ht="20.100000000000001" customHeight="1" x14ac:dyDescent="0.2">
      <c r="B1173" s="3"/>
      <c r="C1173" s="3"/>
      <c r="D1173" s="135"/>
      <c r="E1173" s="135"/>
      <c r="F1173" s="135"/>
      <c r="G1173" s="135"/>
      <c r="H1173" s="136"/>
      <c r="I1173" s="135"/>
    </row>
    <row r="1174" spans="2:9" s="117" customFormat="1" ht="20.100000000000001" customHeight="1" x14ac:dyDescent="0.2">
      <c r="B1174" s="3"/>
      <c r="C1174" s="3"/>
      <c r="D1174" s="135"/>
      <c r="E1174" s="135"/>
      <c r="F1174" s="135"/>
      <c r="G1174" s="135"/>
      <c r="H1174" s="136"/>
      <c r="I1174" s="135"/>
    </row>
    <row r="1175" spans="2:9" s="117" customFormat="1" ht="20.100000000000001" customHeight="1" x14ac:dyDescent="0.2">
      <c r="B1175" s="3"/>
      <c r="C1175" s="3"/>
      <c r="D1175" s="135"/>
      <c r="E1175" s="135"/>
      <c r="F1175" s="135"/>
      <c r="G1175" s="135"/>
      <c r="H1175" s="136"/>
      <c r="I1175" s="135"/>
    </row>
    <row r="1176" spans="2:9" s="117" customFormat="1" ht="20.100000000000001" customHeight="1" x14ac:dyDescent="0.2">
      <c r="B1176" s="3"/>
      <c r="C1176" s="3"/>
      <c r="D1176" s="135"/>
      <c r="E1176" s="135"/>
      <c r="F1176" s="135"/>
      <c r="G1176" s="135"/>
      <c r="H1176" s="136"/>
      <c r="I1176" s="135"/>
    </row>
    <row r="1177" spans="2:9" s="117" customFormat="1" ht="20.100000000000001" customHeight="1" x14ac:dyDescent="0.2">
      <c r="B1177" s="3"/>
      <c r="C1177" s="3"/>
      <c r="D1177" s="135"/>
      <c r="E1177" s="135"/>
      <c r="F1177" s="135"/>
      <c r="G1177" s="135"/>
      <c r="H1177" s="136"/>
      <c r="I1177" s="135"/>
    </row>
    <row r="1178" spans="2:9" s="117" customFormat="1" ht="20.100000000000001" customHeight="1" x14ac:dyDescent="0.2">
      <c r="B1178" s="3"/>
      <c r="C1178" s="3"/>
      <c r="D1178" s="135"/>
      <c r="E1178" s="135"/>
      <c r="F1178" s="135"/>
      <c r="G1178" s="135"/>
      <c r="H1178" s="136"/>
      <c r="I1178" s="135"/>
    </row>
    <row r="1179" spans="2:9" s="117" customFormat="1" ht="20.100000000000001" customHeight="1" x14ac:dyDescent="0.2">
      <c r="B1179" s="3"/>
      <c r="C1179" s="3"/>
      <c r="D1179" s="135"/>
      <c r="E1179" s="135"/>
      <c r="F1179" s="135"/>
      <c r="G1179" s="135"/>
      <c r="H1179" s="136"/>
      <c r="I1179" s="135"/>
    </row>
    <row r="1180" spans="2:9" s="117" customFormat="1" ht="20.100000000000001" customHeight="1" x14ac:dyDescent="0.2">
      <c r="B1180" s="3"/>
      <c r="C1180" s="3"/>
      <c r="D1180" s="135"/>
      <c r="E1180" s="135"/>
      <c r="F1180" s="135"/>
      <c r="G1180" s="135"/>
      <c r="H1180" s="136"/>
      <c r="I1180" s="135"/>
    </row>
    <row r="1181" spans="2:9" s="117" customFormat="1" ht="20.100000000000001" customHeight="1" x14ac:dyDescent="0.2">
      <c r="B1181" s="3"/>
      <c r="C1181" s="3"/>
      <c r="D1181" s="135"/>
      <c r="E1181" s="135"/>
      <c r="F1181" s="135"/>
      <c r="G1181" s="135"/>
      <c r="H1181" s="136"/>
      <c r="I1181" s="135"/>
    </row>
    <row r="1182" spans="2:9" s="117" customFormat="1" ht="20.100000000000001" customHeight="1" x14ac:dyDescent="0.2">
      <c r="B1182" s="3"/>
      <c r="C1182" s="3"/>
      <c r="D1182" s="135"/>
      <c r="E1182" s="135"/>
      <c r="F1182" s="135"/>
      <c r="G1182" s="135"/>
      <c r="H1182" s="136"/>
      <c r="I1182" s="135"/>
    </row>
    <row r="1183" spans="2:9" s="117" customFormat="1" ht="20.100000000000001" customHeight="1" x14ac:dyDescent="0.2">
      <c r="B1183" s="3"/>
      <c r="C1183" s="3"/>
      <c r="D1183" s="135"/>
      <c r="E1183" s="135"/>
      <c r="F1183" s="135"/>
      <c r="G1183" s="135"/>
      <c r="H1183" s="136"/>
      <c r="I1183" s="135"/>
    </row>
    <row r="1184" spans="2:9" s="117" customFormat="1" ht="20.100000000000001" customHeight="1" x14ac:dyDescent="0.2">
      <c r="B1184" s="3"/>
      <c r="C1184" s="3"/>
      <c r="D1184" s="135"/>
      <c r="E1184" s="135"/>
      <c r="F1184" s="135"/>
      <c r="G1184" s="135"/>
      <c r="H1184" s="136"/>
      <c r="I1184" s="135"/>
    </row>
    <row r="1185" spans="2:9" s="117" customFormat="1" ht="20.100000000000001" customHeight="1" x14ac:dyDescent="0.2">
      <c r="B1185" s="3"/>
      <c r="C1185" s="3"/>
      <c r="D1185" s="135"/>
      <c r="E1185" s="135"/>
      <c r="F1185" s="135"/>
      <c r="G1185" s="135"/>
      <c r="H1185" s="136"/>
      <c r="I1185" s="135"/>
    </row>
    <row r="1186" spans="2:9" s="117" customFormat="1" ht="20.100000000000001" customHeight="1" x14ac:dyDescent="0.2">
      <c r="B1186" s="3"/>
      <c r="C1186" s="3"/>
      <c r="D1186" s="135"/>
      <c r="E1186" s="135"/>
      <c r="F1186" s="135"/>
      <c r="G1186" s="135"/>
      <c r="H1186" s="136"/>
      <c r="I1186" s="135"/>
    </row>
    <row r="1187" spans="2:9" s="117" customFormat="1" ht="20.100000000000001" customHeight="1" x14ac:dyDescent="0.2">
      <c r="B1187" s="3"/>
      <c r="C1187" s="3"/>
      <c r="D1187" s="135"/>
      <c r="E1187" s="135"/>
      <c r="F1187" s="135"/>
      <c r="G1187" s="135"/>
      <c r="H1187" s="136"/>
      <c r="I1187" s="135"/>
    </row>
    <row r="1188" spans="2:9" s="117" customFormat="1" ht="20.100000000000001" customHeight="1" x14ac:dyDescent="0.2">
      <c r="B1188" s="3"/>
      <c r="C1188" s="3"/>
      <c r="D1188" s="135"/>
      <c r="E1188" s="135"/>
      <c r="F1188" s="135"/>
      <c r="G1188" s="135"/>
      <c r="H1188" s="136"/>
      <c r="I1188" s="135"/>
    </row>
    <row r="1189" spans="2:9" s="117" customFormat="1" ht="20.100000000000001" customHeight="1" x14ac:dyDescent="0.2">
      <c r="B1189" s="3"/>
      <c r="C1189" s="3"/>
      <c r="D1189" s="135"/>
      <c r="E1189" s="135"/>
      <c r="F1189" s="135"/>
      <c r="G1189" s="135"/>
      <c r="H1189" s="136"/>
      <c r="I1189" s="135"/>
    </row>
    <row r="1190" spans="2:9" s="117" customFormat="1" ht="20.100000000000001" customHeight="1" x14ac:dyDescent="0.2">
      <c r="B1190" s="3"/>
      <c r="C1190" s="3"/>
      <c r="D1190" s="135"/>
      <c r="E1190" s="135"/>
      <c r="F1190" s="135"/>
      <c r="G1190" s="135"/>
      <c r="H1190" s="136"/>
      <c r="I1190" s="135"/>
    </row>
    <row r="1191" spans="2:9" s="117" customFormat="1" ht="20.100000000000001" customHeight="1" x14ac:dyDescent="0.2">
      <c r="B1191" s="3"/>
      <c r="C1191" s="3"/>
      <c r="D1191" s="135"/>
      <c r="E1191" s="135"/>
      <c r="F1191" s="135"/>
      <c r="G1191" s="135"/>
      <c r="H1191" s="136"/>
      <c r="I1191" s="135"/>
    </row>
    <row r="1192" spans="2:9" s="117" customFormat="1" ht="20.100000000000001" customHeight="1" x14ac:dyDescent="0.2">
      <c r="B1192" s="3"/>
      <c r="C1192" s="3"/>
      <c r="D1192" s="135"/>
      <c r="E1192" s="135"/>
      <c r="F1192" s="135"/>
      <c r="G1192" s="135"/>
      <c r="H1192" s="136"/>
      <c r="I1192" s="135"/>
    </row>
  </sheetData>
  <autoFilter ref="B4:L604"/>
  <sortState ref="B5:O10">
    <sortCondition ref="B5"/>
  </sortState>
  <dataValidations count="2">
    <dataValidation type="list" allowBlank="1" showInputMessage="1" showErrorMessage="1" sqref="C5:C254">
      <formula1>ControlShovels</formula1>
    </dataValidation>
    <dataValidation type="date" operator="greaterThan" allowBlank="1" showInputMessage="1" showErrorMessage="1" sqref="B5:B254">
      <formula1>39814</formula1>
    </dataValidation>
  </dataValidations>
  <pageMargins left="0.7" right="0.7" top="0.75" bottom="0.75" header="0.3" footer="0.3"/>
  <pageSetup scale="52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K604"/>
  <sheetViews>
    <sheetView showGridLines="0" zoomScaleNormal="100" workbookViewId="0">
      <pane ySplit="4" topLeftCell="A5" activePane="bottomLeft" state="frozen"/>
      <selection pane="bottomLeft" activeCell="F5" sqref="F5"/>
    </sheetView>
  </sheetViews>
  <sheetFormatPr defaultRowHeight="20.100000000000001" customHeight="1" x14ac:dyDescent="0.2"/>
  <cols>
    <col min="1" max="1" width="6.42578125" style="1" customWidth="1"/>
    <col min="2" max="6" width="13.7109375" style="2" customWidth="1"/>
    <col min="7" max="7" width="13.7109375" style="1" customWidth="1"/>
    <col min="8" max="16384" width="9.140625" style="1"/>
  </cols>
  <sheetData>
    <row r="1" spans="2:11" ht="29.25" customHeight="1" x14ac:dyDescent="0.2"/>
    <row r="2" spans="2:11" ht="29.25" customHeight="1" thickBot="1" x14ac:dyDescent="0.25">
      <c r="B2" s="65" t="s">
        <v>34</v>
      </c>
      <c r="C2" s="66"/>
      <c r="D2" s="66"/>
      <c r="E2" s="66"/>
      <c r="F2" s="66"/>
    </row>
    <row r="3" spans="2:11" ht="6" customHeight="1" x14ac:dyDescent="0.2">
      <c r="E3" s="44"/>
      <c r="F3" s="44"/>
    </row>
    <row r="4" spans="2:11" s="38" customFormat="1" ht="66" customHeight="1" x14ac:dyDescent="0.2">
      <c r="B4" s="76" t="s">
        <v>0</v>
      </c>
      <c r="C4" s="76" t="s">
        <v>9</v>
      </c>
      <c r="D4" s="76" t="s">
        <v>47</v>
      </c>
      <c r="E4" s="76" t="s">
        <v>48</v>
      </c>
      <c r="F4" s="76" t="s">
        <v>45</v>
      </c>
      <c r="G4" s="81"/>
      <c r="H4" s="81"/>
      <c r="I4" s="81"/>
      <c r="J4" s="81"/>
      <c r="K4" s="82"/>
    </row>
    <row r="5" spans="2:11" ht="20.100000000000001" customHeight="1" x14ac:dyDescent="0.2">
      <c r="B5" s="29"/>
      <c r="C5" s="4"/>
      <c r="D5" s="4"/>
      <c r="E5" s="4"/>
      <c r="F5" s="4"/>
    </row>
    <row r="6" spans="2:11" ht="20.100000000000001" customHeight="1" x14ac:dyDescent="0.2">
      <c r="B6" s="29"/>
      <c r="C6" s="4"/>
      <c r="D6" s="4"/>
      <c r="E6" s="4"/>
      <c r="F6" s="4"/>
    </row>
    <row r="7" spans="2:11" ht="20.100000000000001" customHeight="1" x14ac:dyDescent="0.2">
      <c r="B7" s="29"/>
      <c r="C7" s="4"/>
      <c r="D7" s="4"/>
      <c r="E7" s="4"/>
      <c r="F7" s="4"/>
    </row>
    <row r="8" spans="2:11" ht="20.100000000000001" customHeight="1" x14ac:dyDescent="0.2">
      <c r="B8" s="29"/>
      <c r="C8" s="4"/>
      <c r="D8" s="4"/>
      <c r="E8" s="4"/>
      <c r="F8" s="4"/>
    </row>
    <row r="9" spans="2:11" ht="20.100000000000001" customHeight="1" x14ac:dyDescent="0.2">
      <c r="B9" s="29"/>
      <c r="C9" s="4"/>
      <c r="D9" s="4"/>
      <c r="E9" s="4"/>
      <c r="F9" s="4"/>
    </row>
    <row r="10" spans="2:11" ht="20.100000000000001" customHeight="1" x14ac:dyDescent="0.2">
      <c r="B10" s="29"/>
      <c r="C10" s="4"/>
      <c r="D10" s="4"/>
      <c r="E10" s="4"/>
      <c r="F10" s="4"/>
    </row>
    <row r="11" spans="2:11" ht="20.100000000000001" customHeight="1" x14ac:dyDescent="0.2">
      <c r="B11" s="29"/>
      <c r="C11" s="4"/>
      <c r="D11" s="4"/>
      <c r="E11" s="4"/>
      <c r="F11" s="4"/>
    </row>
    <row r="12" spans="2:11" ht="20.100000000000001" customHeight="1" x14ac:dyDescent="0.2">
      <c r="B12" s="29"/>
      <c r="C12" s="4"/>
      <c r="D12" s="4"/>
      <c r="E12" s="4"/>
      <c r="F12" s="4"/>
    </row>
    <row r="13" spans="2:11" ht="20.100000000000001" customHeight="1" x14ac:dyDescent="0.2">
      <c r="B13" s="29"/>
      <c r="C13" s="4"/>
      <c r="D13" s="4"/>
      <c r="E13" s="4"/>
      <c r="F13" s="4"/>
    </row>
    <row r="14" spans="2:11" ht="20.100000000000001" customHeight="1" x14ac:dyDescent="0.2">
      <c r="B14" s="29"/>
      <c r="C14" s="4"/>
      <c r="D14" s="4"/>
      <c r="E14" s="4"/>
      <c r="F14" s="4"/>
    </row>
    <row r="15" spans="2:11" ht="20.100000000000001" customHeight="1" x14ac:dyDescent="0.2">
      <c r="B15" s="29"/>
      <c r="C15" s="4"/>
      <c r="D15" s="4"/>
      <c r="E15" s="4"/>
      <c r="F15" s="4"/>
    </row>
    <row r="16" spans="2:11" ht="20.100000000000001" customHeight="1" x14ac:dyDescent="0.2">
      <c r="B16" s="29"/>
      <c r="C16" s="4"/>
      <c r="D16" s="4"/>
      <c r="E16" s="4"/>
      <c r="F16" s="4"/>
    </row>
    <row r="17" spans="2:6" ht="20.100000000000001" customHeight="1" x14ac:dyDescent="0.2">
      <c r="B17" s="29"/>
      <c r="C17" s="4"/>
      <c r="D17" s="4"/>
      <c r="E17" s="4"/>
      <c r="F17" s="4"/>
    </row>
    <row r="18" spans="2:6" ht="20.100000000000001" customHeight="1" x14ac:dyDescent="0.2">
      <c r="B18" s="29"/>
      <c r="C18" s="4"/>
      <c r="D18" s="4"/>
      <c r="E18" s="4"/>
      <c r="F18" s="4"/>
    </row>
    <row r="19" spans="2:6" ht="20.100000000000001" customHeight="1" x14ac:dyDescent="0.2">
      <c r="B19" s="29"/>
      <c r="C19" s="4"/>
      <c r="D19" s="4"/>
      <c r="E19" s="4"/>
      <c r="F19" s="4"/>
    </row>
    <row r="20" spans="2:6" ht="20.100000000000001" customHeight="1" x14ac:dyDescent="0.2">
      <c r="B20" s="29"/>
      <c r="C20" s="4"/>
      <c r="D20" s="4"/>
      <c r="E20" s="4"/>
      <c r="F20" s="4"/>
    </row>
    <row r="21" spans="2:6" ht="20.100000000000001" customHeight="1" x14ac:dyDescent="0.2">
      <c r="B21" s="29"/>
      <c r="C21" s="4"/>
      <c r="D21" s="4"/>
      <c r="E21" s="4"/>
      <c r="F21" s="4"/>
    </row>
    <row r="22" spans="2:6" ht="20.100000000000001" customHeight="1" x14ac:dyDescent="0.2">
      <c r="B22" s="29"/>
      <c r="C22" s="4"/>
      <c r="D22" s="4"/>
      <c r="E22" s="4"/>
      <c r="F22" s="4"/>
    </row>
    <row r="23" spans="2:6" ht="20.100000000000001" customHeight="1" x14ac:dyDescent="0.2">
      <c r="B23" s="29"/>
      <c r="C23" s="4"/>
      <c r="D23" s="4"/>
      <c r="E23" s="4"/>
      <c r="F23" s="4"/>
    </row>
    <row r="24" spans="2:6" ht="20.100000000000001" customHeight="1" x14ac:dyDescent="0.2">
      <c r="B24" s="29"/>
      <c r="C24" s="4"/>
      <c r="D24" s="4"/>
      <c r="E24" s="4"/>
      <c r="F24" s="4"/>
    </row>
    <row r="25" spans="2:6" ht="20.100000000000001" customHeight="1" x14ac:dyDescent="0.2">
      <c r="B25" s="29"/>
      <c r="C25" s="4"/>
      <c r="D25" s="4"/>
      <c r="E25" s="4"/>
      <c r="F25" s="4"/>
    </row>
    <row r="26" spans="2:6" ht="20.100000000000001" customHeight="1" x14ac:dyDescent="0.2">
      <c r="B26" s="29"/>
      <c r="C26" s="4"/>
      <c r="D26" s="4"/>
      <c r="E26" s="4"/>
      <c r="F26" s="4"/>
    </row>
    <row r="27" spans="2:6" ht="20.100000000000001" customHeight="1" x14ac:dyDescent="0.2">
      <c r="B27" s="29"/>
      <c r="C27" s="4"/>
      <c r="D27" s="4"/>
      <c r="E27" s="4"/>
      <c r="F27" s="4"/>
    </row>
    <row r="28" spans="2:6" ht="20.100000000000001" customHeight="1" x14ac:dyDescent="0.2">
      <c r="B28" s="29"/>
      <c r="C28" s="4"/>
      <c r="D28" s="4"/>
      <c r="E28" s="4"/>
      <c r="F28" s="4"/>
    </row>
    <row r="29" spans="2:6" ht="20.100000000000001" customHeight="1" x14ac:dyDescent="0.2">
      <c r="B29" s="29"/>
      <c r="C29" s="4"/>
      <c r="D29" s="4"/>
      <c r="E29" s="4"/>
      <c r="F29" s="4"/>
    </row>
    <row r="30" spans="2:6" ht="20.100000000000001" customHeight="1" x14ac:dyDescent="0.2">
      <c r="B30" s="29"/>
      <c r="C30" s="4"/>
      <c r="D30" s="4"/>
      <c r="E30" s="4"/>
      <c r="F30" s="4"/>
    </row>
    <row r="31" spans="2:6" ht="20.100000000000001" customHeight="1" x14ac:dyDescent="0.2">
      <c r="B31" s="29"/>
      <c r="C31" s="4"/>
      <c r="D31" s="4"/>
      <c r="E31" s="4"/>
      <c r="F31" s="4"/>
    </row>
    <row r="32" spans="2:6" ht="20.100000000000001" customHeight="1" x14ac:dyDescent="0.2">
      <c r="B32" s="29"/>
      <c r="C32" s="4"/>
      <c r="D32" s="4"/>
      <c r="E32" s="4"/>
      <c r="F32" s="4"/>
    </row>
    <row r="33" spans="2:6" ht="20.100000000000001" customHeight="1" x14ac:dyDescent="0.2">
      <c r="B33" s="29"/>
      <c r="C33" s="4"/>
      <c r="D33" s="4"/>
      <c r="E33" s="4"/>
      <c r="F33" s="4"/>
    </row>
    <row r="34" spans="2:6" ht="20.100000000000001" customHeight="1" x14ac:dyDescent="0.2">
      <c r="B34" s="29"/>
      <c r="C34" s="4"/>
      <c r="D34" s="4"/>
      <c r="E34" s="4"/>
      <c r="F34" s="4"/>
    </row>
    <row r="35" spans="2:6" ht="20.100000000000001" customHeight="1" x14ac:dyDescent="0.2">
      <c r="B35" s="29"/>
      <c r="C35" s="4"/>
      <c r="D35" s="4"/>
      <c r="E35" s="4"/>
      <c r="F35" s="4"/>
    </row>
    <row r="36" spans="2:6" ht="20.100000000000001" customHeight="1" x14ac:dyDescent="0.2">
      <c r="B36" s="29"/>
      <c r="C36" s="4"/>
      <c r="D36" s="4"/>
      <c r="E36" s="4"/>
      <c r="F36" s="4"/>
    </row>
    <row r="37" spans="2:6" ht="20.100000000000001" customHeight="1" x14ac:dyDescent="0.2">
      <c r="B37" s="29"/>
      <c r="C37" s="4"/>
      <c r="D37" s="4"/>
      <c r="E37" s="4"/>
      <c r="F37" s="4"/>
    </row>
    <row r="38" spans="2:6" ht="20.100000000000001" customHeight="1" x14ac:dyDescent="0.2">
      <c r="B38" s="29"/>
      <c r="C38" s="4"/>
      <c r="D38" s="4"/>
      <c r="E38" s="4"/>
      <c r="F38" s="4"/>
    </row>
    <row r="39" spans="2:6" ht="20.100000000000001" customHeight="1" x14ac:dyDescent="0.2">
      <c r="B39" s="29"/>
      <c r="C39" s="4"/>
      <c r="D39" s="4"/>
      <c r="E39" s="4"/>
      <c r="F39" s="4"/>
    </row>
    <row r="40" spans="2:6" ht="20.100000000000001" customHeight="1" x14ac:dyDescent="0.2">
      <c r="B40" s="29"/>
      <c r="C40" s="4"/>
      <c r="D40" s="4"/>
      <c r="E40" s="4"/>
      <c r="F40" s="4"/>
    </row>
    <row r="41" spans="2:6" ht="20.100000000000001" customHeight="1" x14ac:dyDescent="0.2">
      <c r="B41" s="29"/>
      <c r="C41" s="4"/>
      <c r="D41" s="4"/>
      <c r="E41" s="4"/>
      <c r="F41" s="4"/>
    </row>
    <row r="42" spans="2:6" ht="20.100000000000001" customHeight="1" x14ac:dyDescent="0.2">
      <c r="B42" s="29"/>
      <c r="C42" s="4"/>
      <c r="D42" s="4"/>
      <c r="E42" s="4"/>
      <c r="F42" s="4"/>
    </row>
    <row r="43" spans="2:6" ht="20.100000000000001" customHeight="1" x14ac:dyDescent="0.2">
      <c r="B43" s="29"/>
      <c r="C43" s="4"/>
      <c r="D43" s="4"/>
      <c r="E43" s="4"/>
      <c r="F43" s="4"/>
    </row>
    <row r="44" spans="2:6" ht="20.100000000000001" customHeight="1" x14ac:dyDescent="0.2">
      <c r="B44" s="29"/>
      <c r="C44" s="4"/>
      <c r="D44" s="4"/>
      <c r="E44" s="4"/>
      <c r="F44" s="4"/>
    </row>
    <row r="45" spans="2:6" ht="20.100000000000001" customHeight="1" x14ac:dyDescent="0.2">
      <c r="B45" s="29"/>
      <c r="C45" s="4"/>
      <c r="D45" s="4"/>
      <c r="E45" s="4"/>
      <c r="F45" s="4"/>
    </row>
    <row r="46" spans="2:6" ht="20.100000000000001" customHeight="1" x14ac:dyDescent="0.2">
      <c r="B46" s="29"/>
      <c r="C46" s="4"/>
      <c r="D46" s="4"/>
      <c r="E46" s="4"/>
      <c r="F46" s="4"/>
    </row>
    <row r="47" spans="2:6" ht="20.100000000000001" customHeight="1" x14ac:dyDescent="0.2">
      <c r="B47" s="29"/>
      <c r="C47" s="4"/>
      <c r="D47" s="4"/>
      <c r="E47" s="4"/>
      <c r="F47" s="4"/>
    </row>
    <row r="48" spans="2:6" ht="20.100000000000001" customHeight="1" x14ac:dyDescent="0.2">
      <c r="B48" s="29"/>
      <c r="C48" s="4"/>
      <c r="D48" s="4"/>
      <c r="E48" s="4"/>
      <c r="F48" s="4"/>
    </row>
    <row r="49" spans="2:6" ht="20.100000000000001" customHeight="1" x14ac:dyDescent="0.2">
      <c r="B49" s="29"/>
      <c r="C49" s="4"/>
      <c r="D49" s="4"/>
      <c r="E49" s="4"/>
      <c r="F49" s="4"/>
    </row>
    <row r="50" spans="2:6" ht="20.100000000000001" customHeight="1" x14ac:dyDescent="0.2">
      <c r="B50" s="29"/>
      <c r="C50" s="4"/>
      <c r="D50" s="4"/>
      <c r="E50" s="4"/>
      <c r="F50" s="4"/>
    </row>
    <row r="51" spans="2:6" ht="20.100000000000001" customHeight="1" x14ac:dyDescent="0.2">
      <c r="B51" s="29"/>
      <c r="C51" s="4"/>
      <c r="D51" s="4"/>
      <c r="E51" s="4"/>
      <c r="F51" s="4"/>
    </row>
    <row r="52" spans="2:6" ht="20.100000000000001" customHeight="1" x14ac:dyDescent="0.2">
      <c r="B52" s="29"/>
      <c r="C52" s="4"/>
      <c r="D52" s="4"/>
      <c r="E52" s="4"/>
      <c r="F52" s="4"/>
    </row>
    <row r="53" spans="2:6" ht="20.100000000000001" customHeight="1" x14ac:dyDescent="0.2">
      <c r="B53" s="29"/>
      <c r="C53" s="4"/>
      <c r="D53" s="4"/>
      <c r="E53" s="4"/>
      <c r="F53" s="4"/>
    </row>
    <row r="54" spans="2:6" ht="20.100000000000001" customHeight="1" x14ac:dyDescent="0.2">
      <c r="B54" s="29"/>
      <c r="C54" s="4"/>
      <c r="D54" s="4"/>
      <c r="E54" s="4"/>
      <c r="F54" s="4"/>
    </row>
    <row r="55" spans="2:6" ht="20.100000000000001" customHeight="1" x14ac:dyDescent="0.2">
      <c r="B55" s="29"/>
      <c r="C55" s="4"/>
      <c r="D55" s="4"/>
      <c r="E55" s="4"/>
      <c r="F55" s="4"/>
    </row>
    <row r="56" spans="2:6" ht="20.100000000000001" customHeight="1" x14ac:dyDescent="0.2">
      <c r="B56" s="29"/>
      <c r="C56" s="4"/>
      <c r="D56" s="4"/>
      <c r="E56" s="4"/>
      <c r="F56" s="4"/>
    </row>
    <row r="57" spans="2:6" ht="20.100000000000001" customHeight="1" x14ac:dyDescent="0.2">
      <c r="B57" s="29"/>
      <c r="C57" s="4"/>
      <c r="D57" s="4"/>
      <c r="E57" s="4"/>
      <c r="F57" s="4"/>
    </row>
    <row r="58" spans="2:6" ht="20.100000000000001" customHeight="1" x14ac:dyDescent="0.2">
      <c r="B58" s="29"/>
      <c r="C58" s="4"/>
      <c r="D58" s="4"/>
      <c r="E58" s="4"/>
      <c r="F58" s="4"/>
    </row>
    <row r="59" spans="2:6" ht="20.100000000000001" customHeight="1" x14ac:dyDescent="0.2">
      <c r="B59" s="29"/>
      <c r="C59" s="4"/>
      <c r="D59" s="4"/>
      <c r="E59" s="4"/>
      <c r="F59" s="4"/>
    </row>
    <row r="60" spans="2:6" ht="20.100000000000001" customHeight="1" x14ac:dyDescent="0.2">
      <c r="B60" s="29"/>
      <c r="C60" s="4"/>
      <c r="D60" s="4"/>
      <c r="E60" s="4"/>
      <c r="F60" s="4"/>
    </row>
    <row r="61" spans="2:6" ht="20.100000000000001" customHeight="1" x14ac:dyDescent="0.2">
      <c r="B61" s="29"/>
      <c r="C61" s="4"/>
      <c r="D61" s="4"/>
      <c r="E61" s="4"/>
      <c r="F61" s="4"/>
    </row>
    <row r="62" spans="2:6" ht="20.100000000000001" customHeight="1" x14ac:dyDescent="0.2">
      <c r="B62" s="29"/>
      <c r="C62" s="4"/>
      <c r="D62" s="4"/>
      <c r="E62" s="4"/>
      <c r="F62" s="4"/>
    </row>
    <row r="63" spans="2:6" ht="20.100000000000001" customHeight="1" x14ac:dyDescent="0.2">
      <c r="B63" s="29"/>
      <c r="C63" s="4"/>
      <c r="D63" s="4"/>
      <c r="E63" s="4"/>
      <c r="F63" s="4"/>
    </row>
    <row r="64" spans="2:6" ht="20.100000000000001" customHeight="1" x14ac:dyDescent="0.2">
      <c r="B64" s="29"/>
      <c r="C64" s="4"/>
      <c r="D64" s="4"/>
      <c r="E64" s="4"/>
      <c r="F64" s="4"/>
    </row>
    <row r="65" spans="2:6" ht="20.100000000000001" customHeight="1" x14ac:dyDescent="0.2">
      <c r="B65" s="29"/>
      <c r="C65" s="4"/>
      <c r="D65" s="4"/>
      <c r="E65" s="4"/>
      <c r="F65" s="4"/>
    </row>
    <row r="66" spans="2:6" ht="20.100000000000001" customHeight="1" x14ac:dyDescent="0.2">
      <c r="B66" s="29"/>
      <c r="C66" s="4"/>
      <c r="D66" s="4"/>
      <c r="E66" s="4"/>
      <c r="F66" s="4"/>
    </row>
    <row r="67" spans="2:6" ht="20.100000000000001" customHeight="1" x14ac:dyDescent="0.2">
      <c r="B67" s="29"/>
      <c r="C67" s="4"/>
      <c r="D67" s="4"/>
      <c r="E67" s="4"/>
      <c r="F67" s="4"/>
    </row>
    <row r="68" spans="2:6" ht="20.100000000000001" customHeight="1" x14ac:dyDescent="0.2">
      <c r="B68" s="29"/>
      <c r="C68" s="4"/>
      <c r="D68" s="4"/>
      <c r="E68" s="4"/>
      <c r="F68" s="4"/>
    </row>
    <row r="69" spans="2:6" ht="20.100000000000001" customHeight="1" x14ac:dyDescent="0.2">
      <c r="B69" s="29"/>
      <c r="C69" s="4"/>
      <c r="D69" s="4"/>
      <c r="E69" s="4"/>
      <c r="F69" s="4"/>
    </row>
    <row r="70" spans="2:6" ht="20.100000000000001" customHeight="1" x14ac:dyDescent="0.2">
      <c r="B70" s="29"/>
      <c r="C70" s="4"/>
      <c r="D70" s="4"/>
      <c r="E70" s="4"/>
      <c r="F70" s="4"/>
    </row>
    <row r="71" spans="2:6" ht="20.100000000000001" customHeight="1" x14ac:dyDescent="0.2">
      <c r="B71" s="29"/>
      <c r="C71" s="4"/>
      <c r="D71" s="4"/>
      <c r="E71" s="4"/>
      <c r="F71" s="4"/>
    </row>
    <row r="72" spans="2:6" ht="20.100000000000001" customHeight="1" x14ac:dyDescent="0.2">
      <c r="B72" s="29"/>
      <c r="C72" s="4"/>
      <c r="D72" s="4"/>
      <c r="E72" s="4"/>
      <c r="F72" s="4"/>
    </row>
    <row r="73" spans="2:6" ht="20.100000000000001" customHeight="1" x14ac:dyDescent="0.2">
      <c r="B73" s="29"/>
      <c r="C73" s="4"/>
      <c r="D73" s="4"/>
      <c r="E73" s="4"/>
      <c r="F73" s="4"/>
    </row>
    <row r="74" spans="2:6" ht="20.100000000000001" customHeight="1" x14ac:dyDescent="0.2">
      <c r="B74" s="29"/>
      <c r="C74" s="4"/>
      <c r="D74" s="4"/>
      <c r="E74" s="4"/>
      <c r="F74" s="4"/>
    </row>
    <row r="75" spans="2:6" ht="20.100000000000001" customHeight="1" x14ac:dyDescent="0.2">
      <c r="B75" s="29"/>
      <c r="C75" s="4"/>
      <c r="D75" s="4"/>
      <c r="E75" s="4"/>
      <c r="F75" s="4"/>
    </row>
    <row r="76" spans="2:6" ht="20.100000000000001" customHeight="1" x14ac:dyDescent="0.2">
      <c r="B76" s="29"/>
      <c r="C76" s="4"/>
      <c r="D76" s="4"/>
      <c r="E76" s="4"/>
      <c r="F76" s="4"/>
    </row>
    <row r="77" spans="2:6" ht="20.100000000000001" customHeight="1" x14ac:dyDescent="0.2">
      <c r="B77" s="29"/>
      <c r="C77" s="4"/>
      <c r="D77" s="4"/>
      <c r="E77" s="4"/>
      <c r="F77" s="4"/>
    </row>
    <row r="78" spans="2:6" ht="20.100000000000001" customHeight="1" x14ac:dyDescent="0.2">
      <c r="B78" s="29"/>
      <c r="C78" s="4"/>
      <c r="D78" s="4"/>
      <c r="E78" s="4"/>
      <c r="F78" s="4"/>
    </row>
    <row r="79" spans="2:6" ht="20.100000000000001" customHeight="1" x14ac:dyDescent="0.2">
      <c r="B79" s="29"/>
      <c r="C79" s="4"/>
      <c r="D79" s="4"/>
      <c r="E79" s="4"/>
      <c r="F79" s="4"/>
    </row>
    <row r="80" spans="2:6" ht="20.100000000000001" customHeight="1" x14ac:dyDescent="0.2">
      <c r="B80" s="29"/>
      <c r="C80" s="4"/>
      <c r="D80" s="4"/>
      <c r="E80" s="4"/>
      <c r="F80" s="4"/>
    </row>
    <row r="81" spans="2:6" ht="20.100000000000001" customHeight="1" x14ac:dyDescent="0.2">
      <c r="B81" s="29"/>
      <c r="C81" s="4"/>
      <c r="D81" s="4"/>
      <c r="E81" s="4"/>
      <c r="F81" s="4"/>
    </row>
    <row r="82" spans="2:6" ht="20.100000000000001" customHeight="1" x14ac:dyDescent="0.2">
      <c r="B82" s="29"/>
      <c r="C82" s="4"/>
      <c r="D82" s="4"/>
      <c r="E82" s="4"/>
      <c r="F82" s="4"/>
    </row>
    <row r="83" spans="2:6" ht="20.100000000000001" customHeight="1" x14ac:dyDescent="0.2">
      <c r="B83" s="29"/>
      <c r="C83" s="4"/>
      <c r="D83" s="4"/>
      <c r="E83" s="4"/>
      <c r="F83" s="4"/>
    </row>
    <row r="84" spans="2:6" ht="20.100000000000001" customHeight="1" x14ac:dyDescent="0.2">
      <c r="B84" s="29"/>
      <c r="C84" s="4"/>
      <c r="D84" s="4"/>
      <c r="E84" s="4"/>
      <c r="F84" s="4"/>
    </row>
    <row r="85" spans="2:6" ht="20.100000000000001" customHeight="1" x14ac:dyDescent="0.2">
      <c r="B85" s="29"/>
      <c r="C85" s="4"/>
      <c r="D85" s="4"/>
      <c r="E85" s="4"/>
      <c r="F85" s="4"/>
    </row>
    <row r="86" spans="2:6" ht="20.100000000000001" customHeight="1" x14ac:dyDescent="0.2">
      <c r="B86" s="29"/>
      <c r="C86" s="4"/>
      <c r="D86" s="4"/>
      <c r="E86" s="4"/>
      <c r="F86" s="4"/>
    </row>
    <row r="87" spans="2:6" ht="20.100000000000001" customHeight="1" x14ac:dyDescent="0.2">
      <c r="B87" s="29"/>
      <c r="C87" s="4"/>
      <c r="D87" s="4"/>
      <c r="E87" s="4"/>
      <c r="F87" s="4"/>
    </row>
    <row r="88" spans="2:6" ht="20.100000000000001" customHeight="1" x14ac:dyDescent="0.2">
      <c r="B88" s="29"/>
      <c r="C88" s="4"/>
      <c r="D88" s="4"/>
      <c r="E88" s="4"/>
      <c r="F88" s="4"/>
    </row>
    <row r="89" spans="2:6" ht="20.100000000000001" customHeight="1" x14ac:dyDescent="0.2">
      <c r="B89" s="29"/>
      <c r="C89" s="4"/>
      <c r="D89" s="4"/>
      <c r="E89" s="4"/>
      <c r="F89" s="4"/>
    </row>
    <row r="90" spans="2:6" ht="20.100000000000001" customHeight="1" x14ac:dyDescent="0.2">
      <c r="B90" s="29"/>
      <c r="C90" s="4"/>
      <c r="D90" s="4"/>
      <c r="E90" s="4"/>
      <c r="F90" s="4"/>
    </row>
    <row r="91" spans="2:6" ht="20.100000000000001" customHeight="1" x14ac:dyDescent="0.2">
      <c r="B91" s="29"/>
      <c r="C91" s="4"/>
      <c r="D91" s="4"/>
      <c r="E91" s="4"/>
      <c r="F91" s="4"/>
    </row>
    <row r="92" spans="2:6" ht="20.100000000000001" customHeight="1" x14ac:dyDescent="0.2">
      <c r="B92" s="29"/>
      <c r="C92" s="4"/>
      <c r="D92" s="4"/>
      <c r="E92" s="4"/>
      <c r="F92" s="4"/>
    </row>
    <row r="93" spans="2:6" ht="20.100000000000001" customHeight="1" x14ac:dyDescent="0.2">
      <c r="B93" s="29"/>
      <c r="C93" s="4"/>
      <c r="D93" s="4"/>
      <c r="E93" s="4"/>
      <c r="F93" s="4"/>
    </row>
    <row r="94" spans="2:6" ht="20.100000000000001" customHeight="1" x14ac:dyDescent="0.2">
      <c r="B94" s="29"/>
      <c r="C94" s="4"/>
      <c r="D94" s="4"/>
      <c r="E94" s="4"/>
      <c r="F94" s="4"/>
    </row>
    <row r="95" spans="2:6" ht="20.100000000000001" customHeight="1" x14ac:dyDescent="0.2">
      <c r="B95" s="29"/>
      <c r="C95" s="4"/>
      <c r="D95" s="4"/>
      <c r="E95" s="4"/>
      <c r="F95" s="4"/>
    </row>
    <row r="96" spans="2:6" ht="20.100000000000001" customHeight="1" x14ac:dyDescent="0.2">
      <c r="B96" s="29"/>
      <c r="C96" s="4"/>
      <c r="D96" s="4"/>
      <c r="E96" s="4"/>
      <c r="F96" s="4"/>
    </row>
    <row r="97" spans="2:6" ht="20.100000000000001" customHeight="1" x14ac:dyDescent="0.2">
      <c r="B97" s="29"/>
      <c r="C97" s="4"/>
      <c r="D97" s="4"/>
      <c r="E97" s="4"/>
      <c r="F97" s="4"/>
    </row>
    <row r="98" spans="2:6" ht="20.100000000000001" customHeight="1" x14ac:dyDescent="0.2">
      <c r="B98" s="29"/>
      <c r="C98" s="4"/>
      <c r="D98" s="4"/>
      <c r="E98" s="4"/>
      <c r="F98" s="4"/>
    </row>
    <row r="99" spans="2:6" ht="20.100000000000001" customHeight="1" x14ac:dyDescent="0.2">
      <c r="B99" s="29"/>
      <c r="C99" s="4"/>
      <c r="D99" s="4"/>
      <c r="E99" s="4"/>
      <c r="F99" s="4"/>
    </row>
    <row r="100" spans="2:6" ht="20.100000000000001" customHeight="1" x14ac:dyDescent="0.2">
      <c r="B100" s="29"/>
      <c r="C100" s="4"/>
      <c r="D100" s="4"/>
      <c r="E100" s="4"/>
      <c r="F100" s="4"/>
    </row>
    <row r="101" spans="2:6" ht="20.100000000000001" customHeight="1" x14ac:dyDescent="0.2">
      <c r="B101" s="29"/>
      <c r="C101" s="4"/>
      <c r="D101" s="4"/>
      <c r="E101" s="4"/>
      <c r="F101" s="4"/>
    </row>
    <row r="102" spans="2:6" ht="20.100000000000001" customHeight="1" x14ac:dyDescent="0.2">
      <c r="B102" s="29"/>
      <c r="C102" s="4"/>
      <c r="D102" s="4"/>
      <c r="E102" s="4"/>
      <c r="F102" s="4"/>
    </row>
    <row r="103" spans="2:6" ht="20.100000000000001" customHeight="1" x14ac:dyDescent="0.2">
      <c r="B103" s="29"/>
      <c r="C103" s="4"/>
      <c r="D103" s="4"/>
      <c r="E103" s="4"/>
      <c r="F103" s="4"/>
    </row>
    <row r="104" spans="2:6" ht="20.100000000000001" customHeight="1" x14ac:dyDescent="0.2">
      <c r="B104" s="29"/>
      <c r="C104" s="4"/>
      <c r="D104" s="4"/>
      <c r="E104" s="4"/>
      <c r="F104" s="4"/>
    </row>
    <row r="105" spans="2:6" ht="20.100000000000001" customHeight="1" x14ac:dyDescent="0.2">
      <c r="B105" s="29"/>
      <c r="C105" s="4"/>
      <c r="D105" s="4"/>
      <c r="E105" s="4"/>
      <c r="F105" s="4"/>
    </row>
    <row r="106" spans="2:6" ht="20.100000000000001" customHeight="1" x14ac:dyDescent="0.2">
      <c r="B106" s="29"/>
      <c r="C106" s="4"/>
      <c r="D106" s="4"/>
      <c r="E106" s="4"/>
      <c r="F106" s="4"/>
    </row>
    <row r="107" spans="2:6" ht="20.100000000000001" customHeight="1" x14ac:dyDescent="0.2">
      <c r="B107" s="29"/>
      <c r="C107" s="4"/>
      <c r="D107" s="4"/>
      <c r="E107" s="4"/>
      <c r="F107" s="4"/>
    </row>
    <row r="108" spans="2:6" ht="20.100000000000001" customHeight="1" x14ac:dyDescent="0.2">
      <c r="B108" s="29"/>
      <c r="C108" s="4"/>
      <c r="D108" s="4"/>
      <c r="E108" s="4"/>
      <c r="F108" s="4"/>
    </row>
    <row r="109" spans="2:6" ht="20.100000000000001" customHeight="1" x14ac:dyDescent="0.2">
      <c r="B109" s="29"/>
      <c r="C109" s="4"/>
      <c r="D109" s="4"/>
      <c r="E109" s="4"/>
      <c r="F109" s="4"/>
    </row>
    <row r="110" spans="2:6" ht="20.100000000000001" customHeight="1" x14ac:dyDescent="0.2">
      <c r="B110" s="29"/>
      <c r="C110" s="4"/>
      <c r="D110" s="4"/>
      <c r="E110" s="4"/>
      <c r="F110" s="4"/>
    </row>
    <row r="111" spans="2:6" ht="20.100000000000001" customHeight="1" x14ac:dyDescent="0.2">
      <c r="B111" s="29"/>
      <c r="C111" s="4"/>
      <c r="D111" s="4"/>
      <c r="E111" s="4"/>
      <c r="F111" s="4"/>
    </row>
    <row r="112" spans="2:6" ht="20.100000000000001" customHeight="1" x14ac:dyDescent="0.2">
      <c r="B112" s="29"/>
      <c r="C112" s="4"/>
      <c r="D112" s="4"/>
      <c r="E112" s="4"/>
      <c r="F112" s="4"/>
    </row>
    <row r="113" spans="2:6" ht="20.100000000000001" customHeight="1" x14ac:dyDescent="0.2">
      <c r="B113" s="29"/>
      <c r="C113" s="4"/>
      <c r="D113" s="4"/>
      <c r="E113" s="4"/>
      <c r="F113" s="4"/>
    </row>
    <row r="114" spans="2:6" ht="20.100000000000001" customHeight="1" x14ac:dyDescent="0.2">
      <c r="B114" s="29"/>
      <c r="C114" s="4"/>
      <c r="D114" s="4"/>
      <c r="E114" s="4"/>
      <c r="F114" s="4"/>
    </row>
    <row r="115" spans="2:6" ht="20.100000000000001" customHeight="1" x14ac:dyDescent="0.2">
      <c r="B115" s="29"/>
      <c r="C115" s="4"/>
      <c r="D115" s="4"/>
      <c r="E115" s="4"/>
      <c r="F115" s="4"/>
    </row>
    <row r="116" spans="2:6" ht="20.100000000000001" customHeight="1" x14ac:dyDescent="0.2">
      <c r="B116" s="29"/>
      <c r="C116" s="4"/>
      <c r="D116" s="4"/>
      <c r="E116" s="4"/>
      <c r="F116" s="4"/>
    </row>
    <row r="117" spans="2:6" ht="20.100000000000001" customHeight="1" x14ac:dyDescent="0.2">
      <c r="B117" s="29"/>
      <c r="C117" s="4"/>
      <c r="D117" s="4"/>
      <c r="E117" s="4"/>
      <c r="F117" s="4"/>
    </row>
    <row r="118" spans="2:6" ht="20.100000000000001" customHeight="1" x14ac:dyDescent="0.2">
      <c r="B118" s="29"/>
      <c r="C118" s="4"/>
      <c r="D118" s="4"/>
      <c r="E118" s="4"/>
      <c r="F118" s="4"/>
    </row>
    <row r="119" spans="2:6" ht="20.100000000000001" customHeight="1" x14ac:dyDescent="0.2">
      <c r="B119" s="29"/>
      <c r="C119" s="4"/>
      <c r="D119" s="4"/>
      <c r="E119" s="4"/>
      <c r="F119" s="4"/>
    </row>
    <row r="120" spans="2:6" ht="20.100000000000001" customHeight="1" x14ac:dyDescent="0.2">
      <c r="B120" s="29"/>
      <c r="C120" s="4"/>
      <c r="D120" s="4"/>
      <c r="E120" s="4"/>
      <c r="F120" s="4"/>
    </row>
    <row r="121" spans="2:6" ht="20.100000000000001" customHeight="1" x14ac:dyDescent="0.2">
      <c r="B121" s="29"/>
      <c r="C121" s="4"/>
      <c r="D121" s="4"/>
      <c r="E121" s="4"/>
      <c r="F121" s="4"/>
    </row>
    <row r="122" spans="2:6" ht="20.100000000000001" customHeight="1" x14ac:dyDescent="0.2">
      <c r="B122" s="29"/>
      <c r="C122" s="4"/>
      <c r="D122" s="4"/>
      <c r="E122" s="4"/>
      <c r="F122" s="4"/>
    </row>
    <row r="123" spans="2:6" ht="20.100000000000001" customHeight="1" x14ac:dyDescent="0.2">
      <c r="B123" s="29"/>
      <c r="C123" s="4"/>
      <c r="D123" s="4"/>
      <c r="E123" s="4"/>
      <c r="F123" s="4"/>
    </row>
    <row r="124" spans="2:6" ht="20.100000000000001" customHeight="1" x14ac:dyDescent="0.2">
      <c r="B124" s="29"/>
      <c r="C124" s="4"/>
      <c r="D124" s="4"/>
      <c r="E124" s="4"/>
      <c r="F124" s="4"/>
    </row>
    <row r="125" spans="2:6" ht="20.100000000000001" customHeight="1" x14ac:dyDescent="0.2">
      <c r="B125" s="29"/>
      <c r="C125" s="4"/>
      <c r="D125" s="4"/>
      <c r="E125" s="4"/>
      <c r="F125" s="4"/>
    </row>
    <row r="126" spans="2:6" ht="20.100000000000001" customHeight="1" x14ac:dyDescent="0.2">
      <c r="B126" s="29"/>
      <c r="C126" s="4"/>
      <c r="D126" s="4"/>
      <c r="E126" s="4"/>
      <c r="F126" s="4"/>
    </row>
    <row r="127" spans="2:6" ht="20.100000000000001" customHeight="1" x14ac:dyDescent="0.2">
      <c r="B127" s="29"/>
      <c r="C127" s="4"/>
      <c r="D127" s="4"/>
      <c r="E127" s="4"/>
      <c r="F127" s="4"/>
    </row>
    <row r="128" spans="2:6" ht="20.100000000000001" customHeight="1" x14ac:dyDescent="0.2">
      <c r="B128" s="29"/>
      <c r="C128" s="4"/>
      <c r="D128" s="4"/>
      <c r="E128" s="4"/>
      <c r="F128" s="4"/>
    </row>
    <row r="129" spans="2:6" ht="20.100000000000001" customHeight="1" x14ac:dyDescent="0.2">
      <c r="B129" s="29"/>
      <c r="C129" s="4"/>
      <c r="D129" s="4"/>
      <c r="E129" s="4"/>
      <c r="F129" s="4"/>
    </row>
    <row r="130" spans="2:6" ht="20.100000000000001" customHeight="1" x14ac:dyDescent="0.2">
      <c r="B130" s="29"/>
      <c r="C130" s="4"/>
      <c r="D130" s="4"/>
      <c r="E130" s="4"/>
      <c r="F130" s="4"/>
    </row>
    <row r="131" spans="2:6" ht="20.100000000000001" customHeight="1" x14ac:dyDescent="0.2">
      <c r="B131" s="29"/>
      <c r="C131" s="4"/>
      <c r="D131" s="4"/>
      <c r="E131" s="4"/>
      <c r="F131" s="4"/>
    </row>
    <row r="132" spans="2:6" ht="20.100000000000001" customHeight="1" x14ac:dyDescent="0.2">
      <c r="B132" s="29"/>
      <c r="C132" s="4"/>
      <c r="D132" s="4"/>
      <c r="E132" s="4"/>
      <c r="F132" s="4"/>
    </row>
    <row r="133" spans="2:6" ht="20.100000000000001" customHeight="1" x14ac:dyDescent="0.2">
      <c r="B133" s="29"/>
      <c r="C133" s="4"/>
      <c r="D133" s="4"/>
      <c r="E133" s="4"/>
      <c r="F133" s="4"/>
    </row>
    <row r="134" spans="2:6" ht="20.100000000000001" customHeight="1" x14ac:dyDescent="0.2">
      <c r="B134" s="29"/>
      <c r="C134" s="4"/>
      <c r="D134" s="4"/>
      <c r="E134" s="4"/>
      <c r="F134" s="4"/>
    </row>
    <row r="135" spans="2:6" ht="20.100000000000001" customHeight="1" x14ac:dyDescent="0.2">
      <c r="B135" s="29"/>
      <c r="C135" s="4"/>
      <c r="D135" s="4"/>
      <c r="E135" s="4"/>
      <c r="F135" s="4"/>
    </row>
    <row r="136" spans="2:6" ht="20.100000000000001" customHeight="1" x14ac:dyDescent="0.2">
      <c r="B136" s="29"/>
      <c r="C136" s="4"/>
      <c r="D136" s="4"/>
      <c r="E136" s="4"/>
      <c r="F136" s="4"/>
    </row>
    <row r="137" spans="2:6" ht="20.100000000000001" customHeight="1" x14ac:dyDescent="0.2">
      <c r="B137" s="29"/>
      <c r="C137" s="4"/>
      <c r="D137" s="4"/>
      <c r="E137" s="4"/>
      <c r="F137" s="4"/>
    </row>
    <row r="138" spans="2:6" ht="20.100000000000001" customHeight="1" x14ac:dyDescent="0.2">
      <c r="B138" s="29"/>
      <c r="C138" s="4"/>
      <c r="D138" s="4"/>
      <c r="E138" s="4"/>
      <c r="F138" s="4"/>
    </row>
    <row r="139" spans="2:6" ht="20.100000000000001" customHeight="1" x14ac:dyDescent="0.2">
      <c r="B139" s="29"/>
      <c r="C139" s="4"/>
      <c r="D139" s="4"/>
      <c r="E139" s="4"/>
      <c r="F139" s="4"/>
    </row>
    <row r="140" spans="2:6" ht="20.100000000000001" customHeight="1" x14ac:dyDescent="0.2">
      <c r="B140" s="29"/>
      <c r="C140" s="4"/>
      <c r="D140" s="4"/>
      <c r="E140" s="4"/>
      <c r="F140" s="4"/>
    </row>
    <row r="141" spans="2:6" ht="20.100000000000001" customHeight="1" x14ac:dyDescent="0.2">
      <c r="B141" s="29"/>
      <c r="C141" s="4"/>
      <c r="D141" s="4"/>
      <c r="E141" s="4"/>
      <c r="F141" s="4"/>
    </row>
    <row r="142" spans="2:6" ht="20.100000000000001" customHeight="1" x14ac:dyDescent="0.2">
      <c r="B142" s="29"/>
      <c r="C142" s="4"/>
      <c r="D142" s="4"/>
      <c r="E142" s="4"/>
      <c r="F142" s="4"/>
    </row>
    <row r="143" spans="2:6" ht="20.100000000000001" customHeight="1" x14ac:dyDescent="0.2">
      <c r="B143" s="29"/>
      <c r="C143" s="4"/>
      <c r="D143" s="4"/>
      <c r="E143" s="4"/>
      <c r="F143" s="4"/>
    </row>
    <row r="144" spans="2:6" ht="20.100000000000001" customHeight="1" x14ac:dyDescent="0.2">
      <c r="B144" s="29"/>
      <c r="C144" s="4"/>
      <c r="D144" s="4"/>
      <c r="E144" s="4"/>
      <c r="F144" s="4"/>
    </row>
    <row r="145" spans="2:6" ht="20.100000000000001" customHeight="1" x14ac:dyDescent="0.2">
      <c r="B145" s="29"/>
      <c r="C145" s="4"/>
      <c r="D145" s="4"/>
      <c r="E145" s="4"/>
      <c r="F145" s="4"/>
    </row>
    <row r="146" spans="2:6" ht="20.100000000000001" customHeight="1" x14ac:dyDescent="0.2">
      <c r="B146" s="29"/>
      <c r="C146" s="4"/>
      <c r="D146" s="4"/>
      <c r="E146" s="4"/>
      <c r="F146" s="4"/>
    </row>
    <row r="147" spans="2:6" ht="20.100000000000001" customHeight="1" x14ac:dyDescent="0.2">
      <c r="B147" s="29"/>
      <c r="C147" s="4"/>
      <c r="D147" s="4"/>
      <c r="E147" s="4"/>
      <c r="F147" s="4"/>
    </row>
    <row r="148" spans="2:6" ht="20.100000000000001" customHeight="1" x14ac:dyDescent="0.2">
      <c r="B148" s="29"/>
      <c r="C148" s="4"/>
      <c r="D148" s="4"/>
      <c r="E148" s="4"/>
      <c r="F148" s="4"/>
    </row>
    <row r="149" spans="2:6" ht="20.100000000000001" customHeight="1" x14ac:dyDescent="0.2">
      <c r="B149" s="29"/>
      <c r="C149" s="4"/>
      <c r="D149" s="4"/>
      <c r="E149" s="4"/>
      <c r="F149" s="4"/>
    </row>
    <row r="150" spans="2:6" ht="20.100000000000001" customHeight="1" x14ac:dyDescent="0.2">
      <c r="B150" s="29"/>
      <c r="C150" s="4"/>
      <c r="D150" s="4"/>
      <c r="E150" s="4"/>
      <c r="F150" s="4"/>
    </row>
    <row r="151" spans="2:6" ht="20.100000000000001" customHeight="1" x14ac:dyDescent="0.2">
      <c r="B151" s="29"/>
      <c r="C151" s="4"/>
      <c r="D151" s="4"/>
      <c r="E151" s="4"/>
      <c r="F151" s="4"/>
    </row>
    <row r="152" spans="2:6" ht="20.100000000000001" customHeight="1" x14ac:dyDescent="0.2">
      <c r="B152" s="29"/>
      <c r="C152" s="4"/>
      <c r="D152" s="4"/>
      <c r="E152" s="4"/>
      <c r="F152" s="4"/>
    </row>
    <row r="153" spans="2:6" ht="20.100000000000001" customHeight="1" x14ac:dyDescent="0.2">
      <c r="B153" s="29"/>
      <c r="C153" s="4"/>
      <c r="D153" s="4"/>
      <c r="E153" s="4"/>
      <c r="F153" s="4"/>
    </row>
    <row r="154" spans="2:6" ht="20.100000000000001" customHeight="1" x14ac:dyDescent="0.2">
      <c r="B154" s="29"/>
      <c r="C154" s="4"/>
      <c r="D154" s="4"/>
      <c r="E154" s="4"/>
      <c r="F154" s="4"/>
    </row>
    <row r="155" spans="2:6" ht="20.100000000000001" customHeight="1" x14ac:dyDescent="0.2">
      <c r="B155" s="29"/>
      <c r="C155" s="4"/>
      <c r="D155" s="4"/>
      <c r="E155" s="4"/>
      <c r="F155" s="4"/>
    </row>
    <row r="156" spans="2:6" ht="20.100000000000001" customHeight="1" x14ac:dyDescent="0.2">
      <c r="B156" s="29"/>
      <c r="C156" s="4"/>
      <c r="D156" s="4"/>
      <c r="E156" s="4"/>
      <c r="F156" s="4"/>
    </row>
    <row r="157" spans="2:6" ht="20.100000000000001" customHeight="1" x14ac:dyDescent="0.2">
      <c r="B157" s="29"/>
      <c r="C157" s="4"/>
      <c r="D157" s="4"/>
      <c r="E157" s="4"/>
      <c r="F157" s="4"/>
    </row>
    <row r="158" spans="2:6" ht="20.100000000000001" customHeight="1" x14ac:dyDescent="0.2">
      <c r="B158" s="29"/>
      <c r="C158" s="4"/>
      <c r="D158" s="4"/>
      <c r="E158" s="4"/>
      <c r="F158" s="4"/>
    </row>
    <row r="159" spans="2:6" ht="20.100000000000001" customHeight="1" x14ac:dyDescent="0.2">
      <c r="B159" s="29"/>
      <c r="C159" s="4"/>
      <c r="D159" s="4"/>
      <c r="E159" s="4"/>
      <c r="F159" s="4"/>
    </row>
    <row r="160" spans="2:6" ht="20.100000000000001" customHeight="1" x14ac:dyDescent="0.2">
      <c r="B160" s="29"/>
      <c r="C160" s="4"/>
      <c r="D160" s="4"/>
      <c r="E160" s="4"/>
      <c r="F160" s="4"/>
    </row>
    <row r="161" spans="2:6" ht="20.100000000000001" customHeight="1" x14ac:dyDescent="0.2">
      <c r="B161" s="29"/>
      <c r="C161" s="4"/>
      <c r="D161" s="4"/>
      <c r="E161" s="4"/>
      <c r="F161" s="4"/>
    </row>
    <row r="162" spans="2:6" ht="20.100000000000001" customHeight="1" x14ac:dyDescent="0.2">
      <c r="B162" s="29"/>
      <c r="C162" s="4"/>
      <c r="D162" s="4"/>
      <c r="E162" s="4"/>
      <c r="F162" s="4"/>
    </row>
    <row r="163" spans="2:6" ht="20.100000000000001" customHeight="1" x14ac:dyDescent="0.2">
      <c r="B163" s="29"/>
      <c r="C163" s="4"/>
      <c r="D163" s="4"/>
      <c r="E163" s="4"/>
      <c r="F163" s="4"/>
    </row>
    <row r="164" spans="2:6" ht="20.100000000000001" customHeight="1" x14ac:dyDescent="0.2">
      <c r="B164" s="29"/>
      <c r="C164" s="4"/>
      <c r="D164" s="4"/>
      <c r="E164" s="4"/>
      <c r="F164" s="4"/>
    </row>
    <row r="165" spans="2:6" ht="20.100000000000001" customHeight="1" x14ac:dyDescent="0.2">
      <c r="B165" s="29"/>
      <c r="C165" s="4"/>
      <c r="D165" s="4"/>
      <c r="E165" s="4"/>
      <c r="F165" s="4"/>
    </row>
    <row r="166" spans="2:6" ht="20.100000000000001" customHeight="1" x14ac:dyDescent="0.2">
      <c r="B166" s="29"/>
      <c r="C166" s="4"/>
      <c r="D166" s="4"/>
      <c r="E166" s="4"/>
      <c r="F166" s="4"/>
    </row>
    <row r="167" spans="2:6" ht="20.100000000000001" customHeight="1" x14ac:dyDescent="0.2">
      <c r="B167" s="29"/>
      <c r="C167" s="4"/>
      <c r="D167" s="4"/>
      <c r="E167" s="4"/>
      <c r="F167" s="4"/>
    </row>
    <row r="168" spans="2:6" ht="20.100000000000001" customHeight="1" x14ac:dyDescent="0.2">
      <c r="B168" s="29"/>
      <c r="C168" s="4"/>
      <c r="D168" s="4"/>
      <c r="E168" s="4"/>
      <c r="F168" s="4"/>
    </row>
    <row r="169" spans="2:6" ht="20.100000000000001" customHeight="1" x14ac:dyDescent="0.2">
      <c r="B169" s="29"/>
      <c r="C169" s="4"/>
      <c r="D169" s="4"/>
      <c r="E169" s="4"/>
      <c r="F169" s="4"/>
    </row>
    <row r="170" spans="2:6" ht="20.100000000000001" customHeight="1" x14ac:dyDescent="0.2">
      <c r="B170" s="29"/>
      <c r="C170" s="4"/>
      <c r="D170" s="4"/>
      <c r="E170" s="4"/>
      <c r="F170" s="4"/>
    </row>
    <row r="171" spans="2:6" ht="20.100000000000001" customHeight="1" x14ac:dyDescent="0.2">
      <c r="B171" s="29"/>
      <c r="C171" s="4"/>
      <c r="D171" s="4"/>
      <c r="E171" s="4"/>
      <c r="F171" s="4"/>
    </row>
    <row r="172" spans="2:6" ht="20.100000000000001" customHeight="1" x14ac:dyDescent="0.2">
      <c r="B172" s="29"/>
      <c r="C172" s="4"/>
      <c r="D172" s="4"/>
      <c r="E172" s="4"/>
      <c r="F172" s="4"/>
    </row>
    <row r="173" spans="2:6" ht="20.100000000000001" customHeight="1" x14ac:dyDescent="0.2">
      <c r="B173" s="29"/>
      <c r="C173" s="4"/>
      <c r="D173" s="4"/>
      <c r="E173" s="4"/>
      <c r="F173" s="4"/>
    </row>
    <row r="174" spans="2:6" ht="20.100000000000001" customHeight="1" x14ac:dyDescent="0.2">
      <c r="B174" s="29"/>
      <c r="C174" s="4"/>
      <c r="D174" s="4"/>
      <c r="E174" s="4"/>
      <c r="F174" s="4"/>
    </row>
    <row r="175" spans="2:6" ht="20.100000000000001" customHeight="1" x14ac:dyDescent="0.2">
      <c r="B175" s="29"/>
      <c r="C175" s="4"/>
      <c r="D175" s="4"/>
      <c r="E175" s="4"/>
      <c r="F175" s="4"/>
    </row>
    <row r="176" spans="2:6" ht="20.100000000000001" customHeight="1" x14ac:dyDescent="0.2">
      <c r="B176" s="29"/>
      <c r="C176" s="4"/>
      <c r="D176" s="4"/>
      <c r="E176" s="4"/>
      <c r="F176" s="4"/>
    </row>
    <row r="177" spans="2:6" ht="20.100000000000001" customHeight="1" x14ac:dyDescent="0.2">
      <c r="B177" s="29"/>
      <c r="C177" s="4"/>
      <c r="D177" s="4"/>
      <c r="E177" s="4"/>
      <c r="F177" s="4"/>
    </row>
    <row r="178" spans="2:6" ht="20.100000000000001" customHeight="1" x14ac:dyDescent="0.2">
      <c r="B178" s="29"/>
      <c r="C178" s="4"/>
      <c r="D178" s="4"/>
      <c r="E178" s="4"/>
      <c r="F178" s="4"/>
    </row>
    <row r="179" spans="2:6" ht="20.100000000000001" customHeight="1" x14ac:dyDescent="0.2">
      <c r="B179" s="29"/>
      <c r="C179" s="4"/>
      <c r="D179" s="4"/>
      <c r="E179" s="4"/>
      <c r="F179" s="4"/>
    </row>
    <row r="180" spans="2:6" ht="20.100000000000001" customHeight="1" x14ac:dyDescent="0.2">
      <c r="B180" s="29"/>
      <c r="C180" s="4"/>
      <c r="D180" s="4"/>
      <c r="E180" s="4"/>
      <c r="F180" s="4"/>
    </row>
    <row r="181" spans="2:6" ht="20.100000000000001" customHeight="1" x14ac:dyDescent="0.2">
      <c r="B181" s="29"/>
      <c r="C181" s="4"/>
      <c r="D181" s="4"/>
      <c r="E181" s="4"/>
      <c r="F181" s="4"/>
    </row>
    <row r="182" spans="2:6" ht="20.100000000000001" customHeight="1" x14ac:dyDescent="0.2">
      <c r="B182" s="29"/>
      <c r="C182" s="4"/>
      <c r="D182" s="4"/>
      <c r="E182" s="4"/>
      <c r="F182" s="4"/>
    </row>
    <row r="183" spans="2:6" ht="20.100000000000001" customHeight="1" x14ac:dyDescent="0.2">
      <c r="B183" s="29"/>
      <c r="C183" s="4"/>
      <c r="D183" s="4"/>
      <c r="E183" s="4"/>
      <c r="F183" s="4"/>
    </row>
    <row r="184" spans="2:6" ht="20.100000000000001" customHeight="1" x14ac:dyDescent="0.2">
      <c r="B184" s="29"/>
      <c r="C184" s="4"/>
      <c r="D184" s="4"/>
      <c r="E184" s="4"/>
      <c r="F184" s="4"/>
    </row>
    <row r="185" spans="2:6" ht="20.100000000000001" customHeight="1" x14ac:dyDescent="0.2">
      <c r="B185" s="29"/>
      <c r="C185" s="4"/>
      <c r="D185" s="4"/>
      <c r="E185" s="4"/>
      <c r="F185" s="4"/>
    </row>
    <row r="186" spans="2:6" ht="20.100000000000001" customHeight="1" x14ac:dyDescent="0.2">
      <c r="B186" s="29"/>
      <c r="C186" s="4"/>
      <c r="D186" s="4"/>
      <c r="E186" s="4"/>
      <c r="F186" s="4"/>
    </row>
    <row r="187" spans="2:6" ht="20.100000000000001" customHeight="1" x14ac:dyDescent="0.2">
      <c r="B187" s="29"/>
      <c r="C187" s="4"/>
      <c r="D187" s="4"/>
      <c r="E187" s="4"/>
      <c r="F187" s="4"/>
    </row>
    <row r="188" spans="2:6" ht="20.100000000000001" customHeight="1" x14ac:dyDescent="0.2">
      <c r="B188" s="29"/>
      <c r="C188" s="4"/>
      <c r="D188" s="4"/>
      <c r="E188" s="4"/>
      <c r="F188" s="4"/>
    </row>
    <row r="189" spans="2:6" ht="20.100000000000001" customHeight="1" x14ac:dyDescent="0.2">
      <c r="B189" s="29"/>
      <c r="C189" s="4"/>
      <c r="D189" s="4"/>
      <c r="E189" s="4"/>
      <c r="F189" s="4"/>
    </row>
    <row r="190" spans="2:6" ht="20.100000000000001" customHeight="1" x14ac:dyDescent="0.2">
      <c r="B190" s="29"/>
      <c r="C190" s="4"/>
      <c r="D190" s="4"/>
      <c r="E190" s="4"/>
      <c r="F190" s="4"/>
    </row>
    <row r="191" spans="2:6" ht="20.100000000000001" customHeight="1" x14ac:dyDescent="0.2">
      <c r="B191" s="29"/>
      <c r="C191" s="4"/>
      <c r="D191" s="4"/>
      <c r="E191" s="4"/>
      <c r="F191" s="4"/>
    </row>
    <row r="192" spans="2:6" ht="20.100000000000001" customHeight="1" x14ac:dyDescent="0.2">
      <c r="B192" s="29"/>
      <c r="C192" s="4"/>
      <c r="D192" s="4"/>
      <c r="E192" s="4"/>
      <c r="F192" s="4"/>
    </row>
    <row r="193" spans="2:6" ht="20.100000000000001" customHeight="1" x14ac:dyDescent="0.2">
      <c r="B193" s="29"/>
      <c r="C193" s="4"/>
      <c r="D193" s="4"/>
      <c r="E193" s="4"/>
      <c r="F193" s="4"/>
    </row>
    <row r="194" spans="2:6" ht="20.100000000000001" customHeight="1" x14ac:dyDescent="0.2">
      <c r="B194" s="29"/>
      <c r="C194" s="4"/>
      <c r="D194" s="4"/>
      <c r="E194" s="4"/>
      <c r="F194" s="4"/>
    </row>
    <row r="195" spans="2:6" ht="20.100000000000001" customHeight="1" x14ac:dyDescent="0.2">
      <c r="B195" s="29"/>
      <c r="C195" s="4"/>
      <c r="D195" s="4"/>
      <c r="E195" s="4"/>
      <c r="F195" s="4"/>
    </row>
    <row r="196" spans="2:6" ht="20.100000000000001" customHeight="1" x14ac:dyDescent="0.2">
      <c r="B196" s="29"/>
      <c r="C196" s="4"/>
      <c r="D196" s="4"/>
      <c r="E196" s="4"/>
      <c r="F196" s="4"/>
    </row>
    <row r="197" spans="2:6" ht="20.100000000000001" customHeight="1" x14ac:dyDescent="0.2">
      <c r="B197" s="29"/>
      <c r="C197" s="4"/>
      <c r="D197" s="4"/>
      <c r="E197" s="4"/>
      <c r="F197" s="4"/>
    </row>
    <row r="198" spans="2:6" ht="20.100000000000001" customHeight="1" x14ac:dyDescent="0.2">
      <c r="B198" s="29"/>
      <c r="C198" s="4"/>
      <c r="D198" s="4"/>
      <c r="E198" s="4"/>
      <c r="F198" s="4"/>
    </row>
    <row r="199" spans="2:6" ht="20.100000000000001" customHeight="1" x14ac:dyDescent="0.2">
      <c r="B199" s="29"/>
      <c r="C199" s="4"/>
      <c r="D199" s="4"/>
      <c r="E199" s="4"/>
      <c r="F199" s="4"/>
    </row>
    <row r="200" spans="2:6" ht="20.100000000000001" customHeight="1" x14ac:dyDescent="0.2">
      <c r="B200" s="29"/>
      <c r="C200" s="4"/>
      <c r="D200" s="4"/>
      <c r="E200" s="4"/>
      <c r="F200" s="4"/>
    </row>
    <row r="201" spans="2:6" ht="20.100000000000001" customHeight="1" x14ac:dyDescent="0.2">
      <c r="B201" s="29"/>
      <c r="C201" s="4"/>
      <c r="D201" s="4"/>
      <c r="E201" s="4"/>
      <c r="F201" s="4"/>
    </row>
    <row r="202" spans="2:6" ht="20.100000000000001" customHeight="1" x14ac:dyDescent="0.2">
      <c r="B202" s="29"/>
      <c r="C202" s="4"/>
      <c r="D202" s="4"/>
      <c r="E202" s="4"/>
      <c r="F202" s="4"/>
    </row>
    <row r="203" spans="2:6" ht="20.100000000000001" customHeight="1" x14ac:dyDescent="0.2">
      <c r="B203" s="29"/>
      <c r="C203" s="4"/>
      <c r="D203" s="4"/>
      <c r="E203" s="4"/>
      <c r="F203" s="4"/>
    </row>
    <row r="204" spans="2:6" ht="20.100000000000001" customHeight="1" x14ac:dyDescent="0.2">
      <c r="B204" s="29"/>
      <c r="C204" s="4"/>
      <c r="D204" s="4"/>
      <c r="E204" s="4"/>
      <c r="F204" s="4"/>
    </row>
    <row r="205" spans="2:6" ht="20.100000000000001" customHeight="1" x14ac:dyDescent="0.2">
      <c r="B205" s="29"/>
      <c r="C205" s="4"/>
      <c r="D205" s="4"/>
      <c r="E205" s="4"/>
      <c r="F205" s="4"/>
    </row>
    <row r="206" spans="2:6" ht="20.100000000000001" customHeight="1" x14ac:dyDescent="0.2">
      <c r="B206" s="29"/>
      <c r="C206" s="4"/>
      <c r="D206" s="4"/>
      <c r="E206" s="4"/>
      <c r="F206" s="4"/>
    </row>
    <row r="207" spans="2:6" ht="20.100000000000001" customHeight="1" x14ac:dyDescent="0.2">
      <c r="B207" s="29"/>
      <c r="C207" s="4"/>
      <c r="D207" s="4"/>
      <c r="E207" s="4"/>
      <c r="F207" s="4"/>
    </row>
    <row r="208" spans="2:6" ht="20.100000000000001" customHeight="1" x14ac:dyDescent="0.2">
      <c r="B208" s="29"/>
      <c r="C208" s="4"/>
      <c r="D208" s="4"/>
      <c r="E208" s="4"/>
      <c r="F208" s="4"/>
    </row>
    <row r="209" spans="2:6" ht="20.100000000000001" customHeight="1" x14ac:dyDescent="0.2">
      <c r="B209" s="29"/>
      <c r="C209" s="4"/>
      <c r="D209" s="4"/>
      <c r="E209" s="4"/>
      <c r="F209" s="4"/>
    </row>
    <row r="210" spans="2:6" ht="20.100000000000001" customHeight="1" x14ac:dyDescent="0.2">
      <c r="B210" s="29"/>
      <c r="C210" s="4"/>
      <c r="D210" s="4"/>
      <c r="E210" s="4"/>
      <c r="F210" s="4"/>
    </row>
    <row r="211" spans="2:6" ht="20.100000000000001" customHeight="1" x14ac:dyDescent="0.2">
      <c r="B211" s="29"/>
      <c r="C211" s="4"/>
      <c r="D211" s="4"/>
      <c r="E211" s="4"/>
      <c r="F211" s="4"/>
    </row>
    <row r="212" spans="2:6" ht="20.100000000000001" customHeight="1" x14ac:dyDescent="0.2">
      <c r="B212" s="29"/>
      <c r="C212" s="4"/>
      <c r="D212" s="4"/>
      <c r="E212" s="4"/>
      <c r="F212" s="4"/>
    </row>
    <row r="213" spans="2:6" ht="20.100000000000001" customHeight="1" x14ac:dyDescent="0.2">
      <c r="B213" s="29"/>
      <c r="C213" s="4"/>
      <c r="D213" s="4"/>
      <c r="E213" s="4"/>
      <c r="F213" s="4"/>
    </row>
    <row r="214" spans="2:6" ht="20.100000000000001" customHeight="1" x14ac:dyDescent="0.2">
      <c r="B214" s="29"/>
      <c r="C214" s="4"/>
      <c r="D214" s="4"/>
      <c r="E214" s="4"/>
      <c r="F214" s="4"/>
    </row>
    <row r="215" spans="2:6" ht="20.100000000000001" customHeight="1" x14ac:dyDescent="0.2">
      <c r="B215" s="29"/>
      <c r="C215" s="4"/>
      <c r="D215" s="4"/>
      <c r="E215" s="4"/>
      <c r="F215" s="4"/>
    </row>
    <row r="216" spans="2:6" ht="20.100000000000001" customHeight="1" x14ac:dyDescent="0.2">
      <c r="B216" s="29"/>
      <c r="C216" s="4"/>
      <c r="D216" s="4"/>
      <c r="E216" s="4"/>
      <c r="F216" s="4"/>
    </row>
    <row r="217" spans="2:6" ht="20.100000000000001" customHeight="1" x14ac:dyDescent="0.2">
      <c r="B217" s="29"/>
      <c r="C217" s="4"/>
      <c r="D217" s="4"/>
      <c r="E217" s="4"/>
      <c r="F217" s="4"/>
    </row>
    <row r="218" spans="2:6" ht="20.100000000000001" customHeight="1" x14ac:dyDescent="0.2">
      <c r="B218" s="29"/>
      <c r="C218" s="4"/>
      <c r="D218" s="4"/>
      <c r="E218" s="4"/>
      <c r="F218" s="4"/>
    </row>
    <row r="219" spans="2:6" ht="20.100000000000001" customHeight="1" x14ac:dyDescent="0.2">
      <c r="B219" s="29"/>
      <c r="C219" s="4"/>
      <c r="D219" s="4"/>
      <c r="E219" s="4"/>
      <c r="F219" s="4"/>
    </row>
    <row r="220" spans="2:6" ht="20.100000000000001" customHeight="1" x14ac:dyDescent="0.2">
      <c r="B220" s="29"/>
      <c r="C220" s="4"/>
      <c r="D220" s="4"/>
      <c r="E220" s="4"/>
      <c r="F220" s="4"/>
    </row>
    <row r="221" spans="2:6" ht="20.100000000000001" customHeight="1" x14ac:dyDescent="0.2">
      <c r="B221" s="29"/>
      <c r="C221" s="4"/>
      <c r="D221" s="4"/>
      <c r="E221" s="4"/>
      <c r="F221" s="4"/>
    </row>
    <row r="222" spans="2:6" ht="20.100000000000001" customHeight="1" x14ac:dyDescent="0.2">
      <c r="B222" s="29"/>
      <c r="C222" s="4"/>
      <c r="D222" s="4"/>
      <c r="E222" s="4"/>
      <c r="F222" s="4"/>
    </row>
    <row r="223" spans="2:6" ht="20.100000000000001" customHeight="1" x14ac:dyDescent="0.2">
      <c r="B223" s="29"/>
      <c r="C223" s="4"/>
      <c r="D223" s="4"/>
      <c r="E223" s="4"/>
      <c r="F223" s="4"/>
    </row>
    <row r="224" spans="2:6" ht="20.100000000000001" customHeight="1" x14ac:dyDescent="0.2">
      <c r="B224" s="29"/>
      <c r="C224" s="4"/>
      <c r="D224" s="4"/>
      <c r="E224" s="4"/>
      <c r="F224" s="4"/>
    </row>
    <row r="225" spans="2:6" ht="20.100000000000001" customHeight="1" x14ac:dyDescent="0.2">
      <c r="B225" s="29"/>
      <c r="C225" s="4"/>
      <c r="D225" s="4"/>
      <c r="E225" s="4"/>
      <c r="F225" s="4"/>
    </row>
    <row r="226" spans="2:6" ht="20.100000000000001" customHeight="1" x14ac:dyDescent="0.2">
      <c r="B226" s="29"/>
      <c r="C226" s="4"/>
      <c r="D226" s="4"/>
      <c r="E226" s="4"/>
      <c r="F226" s="4"/>
    </row>
    <row r="227" spans="2:6" ht="20.100000000000001" customHeight="1" x14ac:dyDescent="0.2">
      <c r="B227" s="29"/>
      <c r="C227" s="4"/>
      <c r="D227" s="4"/>
      <c r="E227" s="4"/>
      <c r="F227" s="4"/>
    </row>
    <row r="228" spans="2:6" ht="20.100000000000001" customHeight="1" x14ac:dyDescent="0.2">
      <c r="B228" s="29"/>
      <c r="C228" s="4"/>
      <c r="D228" s="4"/>
      <c r="E228" s="4"/>
      <c r="F228" s="4"/>
    </row>
    <row r="229" spans="2:6" ht="20.100000000000001" customHeight="1" x14ac:dyDescent="0.2">
      <c r="B229" s="29"/>
      <c r="C229" s="4"/>
      <c r="D229" s="4"/>
      <c r="E229" s="4"/>
      <c r="F229" s="4"/>
    </row>
    <row r="230" spans="2:6" ht="20.100000000000001" customHeight="1" x14ac:dyDescent="0.2">
      <c r="B230" s="29"/>
      <c r="C230" s="4"/>
      <c r="D230" s="4"/>
      <c r="E230" s="4"/>
      <c r="F230" s="4"/>
    </row>
    <row r="231" spans="2:6" ht="20.100000000000001" customHeight="1" x14ac:dyDescent="0.2">
      <c r="B231" s="29"/>
      <c r="C231" s="4"/>
      <c r="D231" s="4"/>
      <c r="E231" s="4"/>
      <c r="F231" s="4"/>
    </row>
    <row r="232" spans="2:6" ht="20.100000000000001" customHeight="1" x14ac:dyDescent="0.2">
      <c r="B232" s="29"/>
      <c r="C232" s="4"/>
      <c r="D232" s="4"/>
      <c r="E232" s="4"/>
      <c r="F232" s="4"/>
    </row>
    <row r="233" spans="2:6" ht="20.100000000000001" customHeight="1" x14ac:dyDescent="0.2">
      <c r="B233" s="29"/>
      <c r="C233" s="4"/>
      <c r="D233" s="4"/>
      <c r="E233" s="4"/>
      <c r="F233" s="4"/>
    </row>
    <row r="234" spans="2:6" ht="20.100000000000001" customHeight="1" x14ac:dyDescent="0.2">
      <c r="B234" s="29"/>
      <c r="C234" s="4"/>
      <c r="D234" s="4"/>
      <c r="E234" s="4"/>
      <c r="F234" s="4"/>
    </row>
    <row r="235" spans="2:6" ht="20.100000000000001" customHeight="1" x14ac:dyDescent="0.2">
      <c r="B235" s="29"/>
      <c r="C235" s="4"/>
      <c r="D235" s="4"/>
      <c r="E235" s="4"/>
      <c r="F235" s="4"/>
    </row>
    <row r="236" spans="2:6" ht="20.100000000000001" customHeight="1" x14ac:dyDescent="0.2">
      <c r="B236" s="29"/>
      <c r="C236" s="4"/>
      <c r="D236" s="4"/>
      <c r="E236" s="4"/>
      <c r="F236" s="4"/>
    </row>
    <row r="237" spans="2:6" ht="20.100000000000001" customHeight="1" x14ac:dyDescent="0.2">
      <c r="B237" s="29"/>
      <c r="C237" s="4"/>
      <c r="D237" s="4"/>
      <c r="E237" s="4"/>
      <c r="F237" s="4"/>
    </row>
    <row r="238" spans="2:6" ht="20.100000000000001" customHeight="1" x14ac:dyDescent="0.2">
      <c r="B238" s="29"/>
      <c r="C238" s="4"/>
      <c r="D238" s="4"/>
      <c r="E238" s="4"/>
      <c r="F238" s="4"/>
    </row>
    <row r="239" spans="2:6" ht="20.100000000000001" customHeight="1" x14ac:dyDescent="0.2">
      <c r="B239" s="29"/>
      <c r="C239" s="4"/>
      <c r="D239" s="4"/>
      <c r="E239" s="4"/>
      <c r="F239" s="4"/>
    </row>
    <row r="240" spans="2:6" ht="20.100000000000001" customHeight="1" x14ac:dyDescent="0.2">
      <c r="B240" s="29"/>
      <c r="C240" s="4"/>
      <c r="D240" s="4"/>
      <c r="E240" s="4"/>
      <c r="F240" s="4"/>
    </row>
    <row r="241" spans="2:6" ht="20.100000000000001" customHeight="1" x14ac:dyDescent="0.2">
      <c r="B241" s="29"/>
      <c r="C241" s="4"/>
      <c r="D241" s="4"/>
      <c r="E241" s="4"/>
      <c r="F241" s="4"/>
    </row>
    <row r="242" spans="2:6" ht="20.100000000000001" customHeight="1" x14ac:dyDescent="0.2">
      <c r="B242" s="29"/>
      <c r="C242" s="4"/>
      <c r="D242" s="4"/>
      <c r="E242" s="4"/>
      <c r="F242" s="4"/>
    </row>
    <row r="243" spans="2:6" ht="20.100000000000001" customHeight="1" x14ac:dyDescent="0.2">
      <c r="B243" s="29"/>
      <c r="C243" s="4"/>
      <c r="D243" s="4"/>
      <c r="E243" s="4"/>
      <c r="F243" s="4"/>
    </row>
    <row r="244" spans="2:6" ht="20.100000000000001" customHeight="1" x14ac:dyDescent="0.2">
      <c r="B244" s="29"/>
      <c r="C244" s="4"/>
      <c r="D244" s="4"/>
      <c r="E244" s="4"/>
      <c r="F244" s="4"/>
    </row>
    <row r="245" spans="2:6" ht="20.100000000000001" customHeight="1" x14ac:dyDescent="0.2">
      <c r="B245" s="29"/>
      <c r="C245" s="4"/>
      <c r="D245" s="4"/>
      <c r="E245" s="4"/>
      <c r="F245" s="4"/>
    </row>
    <row r="246" spans="2:6" ht="20.100000000000001" customHeight="1" x14ac:dyDescent="0.2">
      <c r="B246" s="29"/>
      <c r="C246" s="4"/>
      <c r="D246" s="4"/>
      <c r="E246" s="4"/>
      <c r="F246" s="4"/>
    </row>
    <row r="247" spans="2:6" ht="20.100000000000001" customHeight="1" x14ac:dyDescent="0.2">
      <c r="B247" s="29"/>
      <c r="C247" s="4"/>
      <c r="D247" s="4"/>
      <c r="E247" s="4"/>
      <c r="F247" s="4"/>
    </row>
    <row r="248" spans="2:6" ht="20.100000000000001" customHeight="1" x14ac:dyDescent="0.2">
      <c r="B248" s="29"/>
      <c r="C248" s="4"/>
      <c r="D248" s="4"/>
      <c r="E248" s="4"/>
      <c r="F248" s="4"/>
    </row>
    <row r="249" spans="2:6" ht="20.100000000000001" customHeight="1" x14ac:dyDescent="0.2">
      <c r="B249" s="29"/>
      <c r="C249" s="4"/>
      <c r="D249" s="4"/>
      <c r="E249" s="4"/>
      <c r="F249" s="4"/>
    </row>
    <row r="250" spans="2:6" ht="20.100000000000001" customHeight="1" x14ac:dyDescent="0.2">
      <c r="B250" s="29"/>
      <c r="C250" s="4"/>
      <c r="D250" s="4"/>
      <c r="E250" s="4"/>
      <c r="F250" s="4"/>
    </row>
    <row r="251" spans="2:6" ht="20.100000000000001" customHeight="1" x14ac:dyDescent="0.2">
      <c r="B251" s="29"/>
      <c r="C251" s="4"/>
      <c r="D251" s="4"/>
      <c r="E251" s="4"/>
      <c r="F251" s="4"/>
    </row>
    <row r="252" spans="2:6" ht="20.100000000000001" customHeight="1" x14ac:dyDescent="0.2">
      <c r="B252" s="29"/>
      <c r="C252" s="4"/>
      <c r="D252" s="4"/>
      <c r="E252" s="4"/>
      <c r="F252" s="4"/>
    </row>
    <row r="253" spans="2:6" ht="20.100000000000001" customHeight="1" x14ac:dyDescent="0.2">
      <c r="B253" s="29"/>
      <c r="C253" s="4"/>
      <c r="D253" s="4"/>
      <c r="E253" s="4"/>
      <c r="F253" s="4"/>
    </row>
    <row r="254" spans="2:6" ht="20.100000000000001" customHeight="1" x14ac:dyDescent="0.2">
      <c r="B254" s="29"/>
      <c r="C254" s="4"/>
      <c r="D254" s="4"/>
      <c r="E254" s="4"/>
      <c r="F254" s="4"/>
    </row>
    <row r="255" spans="2:6" ht="20.100000000000001" customHeight="1" x14ac:dyDescent="0.2">
      <c r="B255" s="29"/>
      <c r="C255" s="4"/>
      <c r="D255" s="4"/>
      <c r="E255" s="4"/>
      <c r="F255" s="4"/>
    </row>
    <row r="256" spans="2:6" ht="20.100000000000001" customHeight="1" x14ac:dyDescent="0.2">
      <c r="B256" s="29"/>
      <c r="C256" s="4"/>
      <c r="D256" s="4"/>
      <c r="E256" s="4"/>
      <c r="F256" s="4"/>
    </row>
    <row r="257" spans="2:6" ht="20.100000000000001" customHeight="1" x14ac:dyDescent="0.2">
      <c r="B257" s="29"/>
      <c r="C257" s="4"/>
      <c r="D257" s="4"/>
      <c r="E257" s="4"/>
      <c r="F257" s="4"/>
    </row>
    <row r="258" spans="2:6" ht="20.100000000000001" customHeight="1" x14ac:dyDescent="0.2">
      <c r="B258" s="29"/>
      <c r="C258" s="4"/>
      <c r="D258" s="4"/>
      <c r="E258" s="4"/>
      <c r="F258" s="4"/>
    </row>
    <row r="259" spans="2:6" ht="20.100000000000001" customHeight="1" x14ac:dyDescent="0.2">
      <c r="B259" s="29"/>
      <c r="C259" s="4"/>
      <c r="D259" s="4"/>
      <c r="E259" s="4"/>
      <c r="F259" s="4"/>
    </row>
    <row r="260" spans="2:6" ht="20.100000000000001" customHeight="1" x14ac:dyDescent="0.2">
      <c r="B260" s="29"/>
      <c r="C260" s="4"/>
      <c r="D260" s="4"/>
      <c r="E260" s="4"/>
      <c r="F260" s="4"/>
    </row>
    <row r="261" spans="2:6" ht="20.100000000000001" customHeight="1" x14ac:dyDescent="0.2">
      <c r="B261" s="29"/>
      <c r="C261" s="4"/>
      <c r="D261" s="4"/>
      <c r="E261" s="4"/>
      <c r="F261" s="4"/>
    </row>
    <row r="262" spans="2:6" ht="20.100000000000001" customHeight="1" x14ac:dyDescent="0.2">
      <c r="B262" s="29"/>
      <c r="C262" s="4"/>
      <c r="D262" s="4"/>
      <c r="E262" s="4"/>
      <c r="F262" s="4"/>
    </row>
    <row r="263" spans="2:6" ht="20.100000000000001" customHeight="1" x14ac:dyDescent="0.2">
      <c r="B263" s="29"/>
      <c r="C263" s="4"/>
      <c r="D263" s="4"/>
      <c r="E263" s="4"/>
      <c r="F263" s="4"/>
    </row>
    <row r="264" spans="2:6" ht="20.100000000000001" customHeight="1" x14ac:dyDescent="0.2">
      <c r="B264" s="29"/>
      <c r="C264" s="4"/>
      <c r="D264" s="4"/>
      <c r="E264" s="4"/>
      <c r="F264" s="4"/>
    </row>
    <row r="265" spans="2:6" ht="20.100000000000001" customHeight="1" x14ac:dyDescent="0.2">
      <c r="B265" s="29"/>
      <c r="C265" s="4"/>
      <c r="D265" s="4"/>
      <c r="E265" s="4"/>
      <c r="F265" s="4"/>
    </row>
    <row r="266" spans="2:6" ht="20.100000000000001" customHeight="1" x14ac:dyDescent="0.2">
      <c r="B266" s="29"/>
      <c r="C266" s="4"/>
      <c r="D266" s="4"/>
      <c r="E266" s="4"/>
      <c r="F266" s="4"/>
    </row>
    <row r="267" spans="2:6" ht="20.100000000000001" customHeight="1" x14ac:dyDescent="0.2">
      <c r="B267" s="29"/>
      <c r="C267" s="4"/>
      <c r="D267" s="4"/>
      <c r="E267" s="4"/>
      <c r="F267" s="4"/>
    </row>
    <row r="268" spans="2:6" ht="20.100000000000001" customHeight="1" x14ac:dyDescent="0.2">
      <c r="B268" s="29"/>
      <c r="C268" s="4"/>
      <c r="D268" s="4"/>
      <c r="E268" s="4"/>
      <c r="F268" s="4"/>
    </row>
    <row r="269" spans="2:6" ht="20.100000000000001" customHeight="1" x14ac:dyDescent="0.2">
      <c r="B269" s="29"/>
      <c r="C269" s="4"/>
      <c r="D269" s="4"/>
      <c r="E269" s="4"/>
      <c r="F269" s="4"/>
    </row>
    <row r="270" spans="2:6" ht="20.100000000000001" customHeight="1" x14ac:dyDescent="0.2">
      <c r="B270" s="29"/>
      <c r="C270" s="4"/>
      <c r="D270" s="4"/>
      <c r="E270" s="4"/>
      <c r="F270" s="4"/>
    </row>
    <row r="271" spans="2:6" ht="20.100000000000001" customHeight="1" x14ac:dyDescent="0.2">
      <c r="B271" s="29"/>
      <c r="C271" s="4"/>
      <c r="D271" s="4"/>
      <c r="E271" s="4"/>
      <c r="F271" s="4"/>
    </row>
    <row r="272" spans="2:6" ht="20.100000000000001" customHeight="1" x14ac:dyDescent="0.2">
      <c r="B272" s="29"/>
      <c r="C272" s="4"/>
      <c r="D272" s="4"/>
      <c r="E272" s="4"/>
      <c r="F272" s="4"/>
    </row>
    <row r="273" spans="2:6" ht="20.100000000000001" customHeight="1" x14ac:dyDescent="0.2">
      <c r="B273" s="29"/>
      <c r="C273" s="4"/>
      <c r="D273" s="4"/>
      <c r="E273" s="4"/>
      <c r="F273" s="4"/>
    </row>
    <row r="274" spans="2:6" ht="20.100000000000001" customHeight="1" x14ac:dyDescent="0.2">
      <c r="B274" s="29"/>
      <c r="C274" s="4"/>
      <c r="D274" s="4"/>
      <c r="E274" s="4"/>
      <c r="F274" s="4"/>
    </row>
    <row r="275" spans="2:6" ht="20.100000000000001" customHeight="1" x14ac:dyDescent="0.2">
      <c r="B275" s="29"/>
      <c r="C275" s="4"/>
      <c r="D275" s="4"/>
      <c r="E275" s="4"/>
      <c r="F275" s="4"/>
    </row>
    <row r="276" spans="2:6" ht="20.100000000000001" customHeight="1" x14ac:dyDescent="0.2">
      <c r="B276" s="29"/>
      <c r="C276" s="4"/>
      <c r="D276" s="4"/>
      <c r="E276" s="4"/>
      <c r="F276" s="4"/>
    </row>
    <row r="277" spans="2:6" ht="20.100000000000001" customHeight="1" x14ac:dyDescent="0.2">
      <c r="B277" s="29"/>
      <c r="C277" s="4"/>
      <c r="D277" s="4"/>
      <c r="E277" s="4"/>
      <c r="F277" s="4"/>
    </row>
    <row r="278" spans="2:6" ht="20.100000000000001" customHeight="1" x14ac:dyDescent="0.2">
      <c r="B278" s="29"/>
      <c r="C278" s="4"/>
      <c r="D278" s="4"/>
      <c r="E278" s="4"/>
      <c r="F278" s="4"/>
    </row>
    <row r="279" spans="2:6" ht="20.100000000000001" customHeight="1" x14ac:dyDescent="0.2">
      <c r="B279" s="29"/>
      <c r="C279" s="4"/>
      <c r="D279" s="4"/>
      <c r="E279" s="4"/>
      <c r="F279" s="4"/>
    </row>
    <row r="280" spans="2:6" ht="20.100000000000001" customHeight="1" x14ac:dyDescent="0.2">
      <c r="B280" s="29"/>
      <c r="C280" s="4"/>
      <c r="D280" s="4"/>
      <c r="E280" s="4"/>
      <c r="F280" s="4"/>
    </row>
    <row r="281" spans="2:6" ht="20.100000000000001" customHeight="1" x14ac:dyDescent="0.2">
      <c r="B281" s="29"/>
      <c r="C281" s="4"/>
      <c r="D281" s="4"/>
      <c r="E281" s="4"/>
      <c r="F281" s="4"/>
    </row>
    <row r="282" spans="2:6" ht="20.100000000000001" customHeight="1" x14ac:dyDescent="0.2">
      <c r="B282" s="29"/>
      <c r="C282" s="4"/>
      <c r="D282" s="4"/>
      <c r="E282" s="4"/>
      <c r="F282" s="4"/>
    </row>
    <row r="283" spans="2:6" ht="20.100000000000001" customHeight="1" x14ac:dyDescent="0.2">
      <c r="B283" s="29"/>
      <c r="C283" s="4"/>
      <c r="D283" s="4"/>
      <c r="E283" s="4"/>
      <c r="F283" s="4"/>
    </row>
    <row r="284" spans="2:6" ht="20.100000000000001" customHeight="1" x14ac:dyDescent="0.2">
      <c r="B284" s="29"/>
      <c r="C284" s="4"/>
      <c r="D284" s="4"/>
      <c r="E284" s="4"/>
      <c r="F284" s="4"/>
    </row>
    <row r="285" spans="2:6" ht="20.100000000000001" customHeight="1" x14ac:dyDescent="0.2">
      <c r="B285" s="29"/>
      <c r="C285" s="4"/>
      <c r="D285" s="4"/>
      <c r="E285" s="4"/>
      <c r="F285" s="4"/>
    </row>
    <row r="286" spans="2:6" ht="20.100000000000001" customHeight="1" x14ac:dyDescent="0.2">
      <c r="B286" s="29"/>
      <c r="C286" s="4"/>
      <c r="D286" s="4"/>
      <c r="E286" s="4"/>
      <c r="F286" s="4"/>
    </row>
    <row r="287" spans="2:6" ht="20.100000000000001" customHeight="1" x14ac:dyDescent="0.2">
      <c r="B287" s="29"/>
      <c r="C287" s="4"/>
      <c r="D287" s="4"/>
      <c r="E287" s="4"/>
      <c r="F287" s="4"/>
    </row>
    <row r="288" spans="2:6" ht="20.100000000000001" customHeight="1" x14ac:dyDescent="0.2">
      <c r="B288" s="29"/>
      <c r="C288" s="4"/>
      <c r="D288" s="4"/>
      <c r="E288" s="4"/>
      <c r="F288" s="4"/>
    </row>
    <row r="289" spans="2:6" ht="20.100000000000001" customHeight="1" x14ac:dyDescent="0.2">
      <c r="B289" s="29"/>
      <c r="C289" s="4"/>
      <c r="D289" s="4"/>
      <c r="E289" s="4"/>
      <c r="F289" s="4"/>
    </row>
    <row r="290" spans="2:6" ht="20.100000000000001" customHeight="1" x14ac:dyDescent="0.2">
      <c r="B290" s="29"/>
      <c r="C290" s="4"/>
      <c r="D290" s="4"/>
      <c r="E290" s="4"/>
      <c r="F290" s="4"/>
    </row>
    <row r="291" spans="2:6" ht="20.100000000000001" customHeight="1" x14ac:dyDescent="0.2">
      <c r="B291" s="29"/>
      <c r="C291" s="4"/>
      <c r="D291" s="4"/>
      <c r="E291" s="4"/>
      <c r="F291" s="4"/>
    </row>
    <row r="292" spans="2:6" ht="20.100000000000001" customHeight="1" x14ac:dyDescent="0.2">
      <c r="B292" s="29"/>
      <c r="C292" s="4"/>
      <c r="D292" s="4"/>
      <c r="E292" s="4"/>
      <c r="F292" s="4"/>
    </row>
    <row r="293" spans="2:6" ht="20.100000000000001" customHeight="1" x14ac:dyDescent="0.2">
      <c r="B293" s="29"/>
      <c r="C293" s="4"/>
      <c r="D293" s="4"/>
      <c r="E293" s="4"/>
      <c r="F293" s="4"/>
    </row>
    <row r="294" spans="2:6" ht="20.100000000000001" customHeight="1" x14ac:dyDescent="0.2">
      <c r="B294" s="29"/>
      <c r="C294" s="4"/>
      <c r="D294" s="4"/>
      <c r="E294" s="4"/>
      <c r="F294" s="4"/>
    </row>
    <row r="295" spans="2:6" ht="20.100000000000001" customHeight="1" x14ac:dyDescent="0.2">
      <c r="B295" s="29"/>
      <c r="C295" s="4"/>
      <c r="D295" s="4"/>
      <c r="E295" s="4"/>
      <c r="F295" s="4"/>
    </row>
    <row r="296" spans="2:6" ht="20.100000000000001" customHeight="1" x14ac:dyDescent="0.2">
      <c r="B296" s="29"/>
      <c r="C296" s="4"/>
      <c r="D296" s="4"/>
      <c r="E296" s="4"/>
      <c r="F296" s="4"/>
    </row>
    <row r="297" spans="2:6" ht="20.100000000000001" customHeight="1" x14ac:dyDescent="0.2">
      <c r="B297" s="29"/>
      <c r="C297" s="4"/>
      <c r="D297" s="4"/>
      <c r="E297" s="4"/>
      <c r="F297" s="4"/>
    </row>
    <row r="298" spans="2:6" ht="20.100000000000001" customHeight="1" x14ac:dyDescent="0.2">
      <c r="B298" s="29"/>
      <c r="C298" s="4"/>
      <c r="D298" s="4"/>
      <c r="E298" s="4"/>
      <c r="F298" s="4"/>
    </row>
    <row r="299" spans="2:6" ht="20.100000000000001" customHeight="1" x14ac:dyDescent="0.2">
      <c r="B299" s="29"/>
      <c r="C299" s="4"/>
      <c r="D299" s="4"/>
      <c r="E299" s="4"/>
      <c r="F299" s="4"/>
    </row>
    <row r="300" spans="2:6" ht="20.100000000000001" customHeight="1" x14ac:dyDescent="0.2">
      <c r="B300" s="29"/>
      <c r="C300" s="4"/>
      <c r="D300" s="4"/>
      <c r="E300" s="4"/>
      <c r="F300" s="4"/>
    </row>
    <row r="301" spans="2:6" ht="20.100000000000001" customHeight="1" x14ac:dyDescent="0.2">
      <c r="B301" s="29"/>
      <c r="C301" s="4"/>
      <c r="D301" s="4"/>
      <c r="E301" s="4"/>
      <c r="F301" s="4"/>
    </row>
    <row r="302" spans="2:6" ht="20.100000000000001" customHeight="1" x14ac:dyDescent="0.2">
      <c r="B302" s="29"/>
      <c r="C302" s="4"/>
      <c r="D302" s="4"/>
      <c r="E302" s="4"/>
      <c r="F302" s="4"/>
    </row>
    <row r="303" spans="2:6" ht="20.100000000000001" customHeight="1" x14ac:dyDescent="0.2">
      <c r="B303" s="29"/>
      <c r="C303" s="4"/>
      <c r="D303" s="4"/>
      <c r="E303" s="4"/>
      <c r="F303" s="4"/>
    </row>
    <row r="304" spans="2:6" ht="20.100000000000001" customHeight="1" x14ac:dyDescent="0.2">
      <c r="B304" s="29"/>
      <c r="C304" s="4"/>
      <c r="D304" s="4"/>
      <c r="E304" s="4"/>
      <c r="F304" s="4"/>
    </row>
    <row r="305" spans="2:6" ht="20.100000000000001" customHeight="1" x14ac:dyDescent="0.2">
      <c r="B305" s="29"/>
      <c r="C305" s="4"/>
      <c r="D305" s="4"/>
      <c r="E305" s="4"/>
      <c r="F305" s="4"/>
    </row>
    <row r="306" spans="2:6" ht="20.100000000000001" customHeight="1" x14ac:dyDescent="0.2">
      <c r="B306" s="29"/>
      <c r="C306" s="4"/>
      <c r="D306" s="4"/>
      <c r="E306" s="4"/>
      <c r="F306" s="4"/>
    </row>
    <row r="307" spans="2:6" ht="20.100000000000001" customHeight="1" x14ac:dyDescent="0.2">
      <c r="B307" s="29"/>
      <c r="C307" s="4"/>
      <c r="D307" s="4"/>
      <c r="E307" s="4"/>
      <c r="F307" s="4"/>
    </row>
    <row r="308" spans="2:6" ht="20.100000000000001" customHeight="1" x14ac:dyDescent="0.2">
      <c r="B308" s="29"/>
      <c r="C308" s="4"/>
      <c r="D308" s="4"/>
      <c r="E308" s="4"/>
      <c r="F308" s="4"/>
    </row>
    <row r="309" spans="2:6" ht="20.100000000000001" customHeight="1" x14ac:dyDescent="0.2">
      <c r="B309" s="29"/>
      <c r="C309" s="4"/>
      <c r="D309" s="4"/>
      <c r="E309" s="4"/>
      <c r="F309" s="4"/>
    </row>
    <row r="310" spans="2:6" ht="20.100000000000001" customHeight="1" x14ac:dyDescent="0.2">
      <c r="B310" s="29"/>
      <c r="C310" s="4"/>
      <c r="D310" s="4"/>
      <c r="E310" s="4"/>
      <c r="F310" s="4"/>
    </row>
    <row r="311" spans="2:6" ht="20.100000000000001" customHeight="1" x14ac:dyDescent="0.2">
      <c r="B311" s="29"/>
      <c r="C311" s="4"/>
      <c r="D311" s="4"/>
      <c r="E311" s="4"/>
      <c r="F311" s="4"/>
    </row>
    <row r="312" spans="2:6" ht="20.100000000000001" customHeight="1" x14ac:dyDescent="0.2">
      <c r="B312" s="29"/>
      <c r="C312" s="4"/>
      <c r="D312" s="4"/>
      <c r="E312" s="4"/>
      <c r="F312" s="4"/>
    </row>
    <row r="313" spans="2:6" ht="20.100000000000001" customHeight="1" x14ac:dyDescent="0.2">
      <c r="B313" s="29"/>
      <c r="C313" s="4"/>
      <c r="D313" s="4"/>
      <c r="E313" s="4"/>
      <c r="F313" s="4"/>
    </row>
    <row r="314" spans="2:6" ht="20.100000000000001" customHeight="1" x14ac:dyDescent="0.2">
      <c r="B314" s="29"/>
      <c r="C314" s="4"/>
      <c r="D314" s="4"/>
      <c r="E314" s="4"/>
      <c r="F314" s="4"/>
    </row>
    <row r="315" spans="2:6" ht="20.100000000000001" customHeight="1" x14ac:dyDescent="0.2">
      <c r="B315" s="29"/>
      <c r="C315" s="4"/>
      <c r="D315" s="4"/>
      <c r="E315" s="4"/>
      <c r="F315" s="4"/>
    </row>
    <row r="316" spans="2:6" ht="20.100000000000001" customHeight="1" x14ac:dyDescent="0.2">
      <c r="B316" s="29"/>
      <c r="C316" s="4"/>
      <c r="D316" s="4"/>
      <c r="E316" s="4"/>
      <c r="F316" s="4"/>
    </row>
    <row r="317" spans="2:6" ht="20.100000000000001" customHeight="1" x14ac:dyDescent="0.2">
      <c r="B317" s="29"/>
      <c r="C317" s="4"/>
      <c r="D317" s="4"/>
      <c r="E317" s="4"/>
      <c r="F317" s="4"/>
    </row>
    <row r="318" spans="2:6" ht="20.100000000000001" customHeight="1" x14ac:dyDescent="0.2">
      <c r="B318" s="29"/>
      <c r="C318" s="4"/>
      <c r="D318" s="4"/>
      <c r="E318" s="4"/>
      <c r="F318" s="4"/>
    </row>
    <row r="319" spans="2:6" ht="20.100000000000001" customHeight="1" x14ac:dyDescent="0.2">
      <c r="B319" s="29"/>
      <c r="C319" s="4"/>
      <c r="D319" s="4"/>
      <c r="E319" s="4"/>
      <c r="F319" s="4"/>
    </row>
    <row r="320" spans="2:6" ht="20.100000000000001" customHeight="1" x14ac:dyDescent="0.2">
      <c r="B320" s="29"/>
      <c r="C320" s="4"/>
      <c r="D320" s="4"/>
      <c r="E320" s="4"/>
      <c r="F320" s="4"/>
    </row>
    <row r="321" spans="2:6" ht="20.100000000000001" customHeight="1" x14ac:dyDescent="0.2">
      <c r="B321" s="29"/>
      <c r="C321" s="4"/>
      <c r="D321" s="4"/>
      <c r="E321" s="4"/>
      <c r="F321" s="4"/>
    </row>
    <row r="322" spans="2:6" ht="20.100000000000001" customHeight="1" x14ac:dyDescent="0.2">
      <c r="B322" s="29"/>
      <c r="C322" s="4"/>
      <c r="D322" s="4"/>
      <c r="E322" s="4"/>
      <c r="F322" s="4"/>
    </row>
    <row r="323" spans="2:6" ht="20.100000000000001" customHeight="1" x14ac:dyDescent="0.2">
      <c r="B323" s="29"/>
      <c r="C323" s="4"/>
      <c r="D323" s="4"/>
      <c r="E323" s="4"/>
      <c r="F323" s="4"/>
    </row>
    <row r="324" spans="2:6" ht="20.100000000000001" customHeight="1" x14ac:dyDescent="0.2">
      <c r="B324" s="29"/>
      <c r="C324" s="4"/>
      <c r="D324" s="4"/>
      <c r="E324" s="4"/>
      <c r="F324" s="4"/>
    </row>
    <row r="325" spans="2:6" ht="20.100000000000001" customHeight="1" x14ac:dyDescent="0.2">
      <c r="B325" s="29"/>
      <c r="C325" s="4"/>
      <c r="D325" s="4"/>
      <c r="E325" s="4"/>
      <c r="F325" s="4"/>
    </row>
    <row r="326" spans="2:6" ht="20.100000000000001" customHeight="1" x14ac:dyDescent="0.2">
      <c r="B326" s="29"/>
      <c r="C326" s="4"/>
      <c r="D326" s="4"/>
      <c r="E326" s="4"/>
      <c r="F326" s="4"/>
    </row>
    <row r="327" spans="2:6" ht="20.100000000000001" customHeight="1" x14ac:dyDescent="0.2">
      <c r="B327" s="29"/>
      <c r="C327" s="4"/>
      <c r="D327" s="4"/>
      <c r="E327" s="4"/>
      <c r="F327" s="4"/>
    </row>
    <row r="328" spans="2:6" ht="20.100000000000001" customHeight="1" x14ac:dyDescent="0.2">
      <c r="B328" s="29"/>
      <c r="C328" s="4"/>
      <c r="D328" s="4"/>
      <c r="E328" s="4"/>
      <c r="F328" s="4"/>
    </row>
    <row r="329" spans="2:6" ht="20.100000000000001" customHeight="1" x14ac:dyDescent="0.2">
      <c r="B329" s="29"/>
      <c r="C329" s="4"/>
      <c r="D329" s="4"/>
      <c r="E329" s="4"/>
      <c r="F329" s="4"/>
    </row>
    <row r="330" spans="2:6" ht="20.100000000000001" customHeight="1" x14ac:dyDescent="0.2">
      <c r="B330" s="29"/>
      <c r="C330" s="4"/>
      <c r="D330" s="4"/>
      <c r="E330" s="4"/>
      <c r="F330" s="4"/>
    </row>
    <row r="331" spans="2:6" ht="20.100000000000001" customHeight="1" x14ac:dyDescent="0.2">
      <c r="B331" s="29"/>
      <c r="C331" s="4"/>
      <c r="D331" s="4"/>
      <c r="E331" s="4"/>
      <c r="F331" s="4"/>
    </row>
    <row r="332" spans="2:6" ht="20.100000000000001" customHeight="1" x14ac:dyDescent="0.2">
      <c r="B332" s="29"/>
      <c r="C332" s="4"/>
      <c r="D332" s="4"/>
      <c r="E332" s="4"/>
      <c r="F332" s="4"/>
    </row>
    <row r="333" spans="2:6" ht="20.100000000000001" customHeight="1" x14ac:dyDescent="0.2">
      <c r="B333" s="29"/>
      <c r="C333" s="4"/>
      <c r="D333" s="4"/>
      <c r="E333" s="4"/>
      <c r="F333" s="4"/>
    </row>
    <row r="334" spans="2:6" ht="20.100000000000001" customHeight="1" x14ac:dyDescent="0.2">
      <c r="B334" s="29"/>
      <c r="C334" s="4"/>
      <c r="D334" s="4"/>
      <c r="E334" s="4"/>
      <c r="F334" s="4"/>
    </row>
    <row r="335" spans="2:6" ht="20.100000000000001" customHeight="1" x14ac:dyDescent="0.2">
      <c r="B335" s="29"/>
      <c r="C335" s="4"/>
      <c r="D335" s="4"/>
      <c r="E335" s="4"/>
      <c r="F335" s="4"/>
    </row>
    <row r="336" spans="2:6" ht="20.100000000000001" customHeight="1" x14ac:dyDescent="0.2">
      <c r="B336" s="29"/>
      <c r="C336" s="4"/>
      <c r="D336" s="4"/>
      <c r="E336" s="4"/>
      <c r="F336" s="4"/>
    </row>
    <row r="337" spans="2:6" ht="20.100000000000001" customHeight="1" x14ac:dyDescent="0.2">
      <c r="B337" s="29"/>
      <c r="C337" s="4"/>
      <c r="D337" s="4"/>
      <c r="E337" s="4"/>
      <c r="F337" s="4"/>
    </row>
    <row r="338" spans="2:6" ht="20.100000000000001" customHeight="1" x14ac:dyDescent="0.2">
      <c r="B338" s="29"/>
      <c r="C338" s="4"/>
      <c r="D338" s="4"/>
      <c r="E338" s="4"/>
      <c r="F338" s="4"/>
    </row>
    <row r="339" spans="2:6" ht="20.100000000000001" customHeight="1" x14ac:dyDescent="0.2">
      <c r="B339" s="29"/>
      <c r="C339" s="4"/>
      <c r="D339" s="4"/>
      <c r="E339" s="4"/>
      <c r="F339" s="4"/>
    </row>
    <row r="340" spans="2:6" ht="20.100000000000001" customHeight="1" x14ac:dyDescent="0.2">
      <c r="B340" s="29"/>
      <c r="C340" s="4"/>
      <c r="D340" s="4"/>
      <c r="E340" s="4"/>
      <c r="F340" s="4"/>
    </row>
    <row r="341" spans="2:6" ht="20.100000000000001" customHeight="1" x14ac:dyDescent="0.2">
      <c r="B341" s="29"/>
      <c r="C341" s="4"/>
      <c r="D341" s="4"/>
      <c r="E341" s="4"/>
      <c r="F341" s="4"/>
    </row>
    <row r="342" spans="2:6" ht="20.100000000000001" customHeight="1" x14ac:dyDescent="0.2">
      <c r="B342" s="29"/>
      <c r="C342" s="4"/>
      <c r="D342" s="4"/>
      <c r="E342" s="4"/>
      <c r="F342" s="4"/>
    </row>
    <row r="343" spans="2:6" ht="20.100000000000001" customHeight="1" x14ac:dyDescent="0.2">
      <c r="B343" s="29"/>
      <c r="C343" s="4"/>
      <c r="D343" s="4"/>
      <c r="E343" s="4"/>
      <c r="F343" s="4"/>
    </row>
    <row r="344" spans="2:6" ht="20.100000000000001" customHeight="1" x14ac:dyDescent="0.2">
      <c r="B344" s="29"/>
      <c r="C344" s="4"/>
      <c r="D344" s="4"/>
      <c r="E344" s="4"/>
      <c r="F344" s="4"/>
    </row>
    <row r="345" spans="2:6" ht="20.100000000000001" customHeight="1" x14ac:dyDescent="0.2">
      <c r="B345" s="29"/>
      <c r="C345" s="4"/>
      <c r="D345" s="4"/>
      <c r="E345" s="4"/>
      <c r="F345" s="4"/>
    </row>
    <row r="346" spans="2:6" ht="20.100000000000001" customHeight="1" x14ac:dyDescent="0.2">
      <c r="B346" s="29"/>
      <c r="C346" s="4"/>
      <c r="D346" s="4"/>
      <c r="E346" s="4"/>
      <c r="F346" s="4"/>
    </row>
    <row r="347" spans="2:6" ht="20.100000000000001" customHeight="1" x14ac:dyDescent="0.2">
      <c r="B347" s="29"/>
      <c r="C347" s="4"/>
      <c r="D347" s="4"/>
      <c r="E347" s="4"/>
      <c r="F347" s="4"/>
    </row>
    <row r="348" spans="2:6" ht="20.100000000000001" customHeight="1" x14ac:dyDescent="0.2">
      <c r="B348" s="29"/>
      <c r="C348" s="4"/>
      <c r="D348" s="4"/>
      <c r="E348" s="4"/>
      <c r="F348" s="4"/>
    </row>
    <row r="349" spans="2:6" ht="20.100000000000001" customHeight="1" x14ac:dyDescent="0.2">
      <c r="B349" s="29"/>
      <c r="C349" s="4"/>
      <c r="D349" s="4"/>
      <c r="E349" s="4"/>
      <c r="F349" s="4"/>
    </row>
    <row r="350" spans="2:6" ht="20.100000000000001" customHeight="1" x14ac:dyDescent="0.2">
      <c r="B350" s="29"/>
      <c r="C350" s="4"/>
      <c r="D350" s="4"/>
      <c r="E350" s="4"/>
      <c r="F350" s="4"/>
    </row>
    <row r="351" spans="2:6" ht="20.100000000000001" customHeight="1" x14ac:dyDescent="0.2">
      <c r="B351" s="29"/>
      <c r="C351" s="4"/>
      <c r="D351" s="4"/>
      <c r="E351" s="4"/>
      <c r="F351" s="4"/>
    </row>
    <row r="352" spans="2:6" ht="20.100000000000001" customHeight="1" x14ac:dyDescent="0.2">
      <c r="B352" s="29"/>
      <c r="C352" s="4"/>
      <c r="D352" s="4"/>
      <c r="E352" s="4"/>
      <c r="F352" s="4"/>
    </row>
    <row r="353" spans="2:6" ht="20.100000000000001" customHeight="1" x14ac:dyDescent="0.2">
      <c r="B353" s="29"/>
      <c r="C353" s="4"/>
      <c r="D353" s="4"/>
      <c r="E353" s="4"/>
      <c r="F353" s="4"/>
    </row>
    <row r="354" spans="2:6" ht="20.100000000000001" customHeight="1" x14ac:dyDescent="0.2">
      <c r="B354" s="29"/>
      <c r="C354" s="4"/>
      <c r="D354" s="4"/>
      <c r="E354" s="4"/>
      <c r="F354" s="4"/>
    </row>
    <row r="355" spans="2:6" ht="20.100000000000001" customHeight="1" x14ac:dyDescent="0.2">
      <c r="B355" s="29"/>
      <c r="C355" s="4"/>
      <c r="D355" s="4"/>
      <c r="E355" s="4"/>
      <c r="F355" s="4"/>
    </row>
    <row r="356" spans="2:6" ht="20.100000000000001" customHeight="1" x14ac:dyDescent="0.2">
      <c r="B356" s="29"/>
      <c r="C356" s="4"/>
      <c r="D356" s="4"/>
      <c r="E356" s="4"/>
      <c r="F356" s="4"/>
    </row>
    <row r="357" spans="2:6" ht="20.100000000000001" customHeight="1" x14ac:dyDescent="0.2">
      <c r="B357" s="29"/>
      <c r="C357" s="4"/>
      <c r="D357" s="4"/>
      <c r="E357" s="4"/>
      <c r="F357" s="4"/>
    </row>
    <row r="358" spans="2:6" ht="20.100000000000001" customHeight="1" x14ac:dyDescent="0.2">
      <c r="B358" s="29"/>
      <c r="C358" s="4"/>
      <c r="D358" s="4"/>
      <c r="E358" s="4"/>
      <c r="F358" s="4"/>
    </row>
    <row r="359" spans="2:6" ht="20.100000000000001" customHeight="1" x14ac:dyDescent="0.2">
      <c r="B359" s="29"/>
      <c r="C359" s="4"/>
      <c r="D359" s="4"/>
      <c r="E359" s="4"/>
      <c r="F359" s="4"/>
    </row>
    <row r="360" spans="2:6" ht="20.100000000000001" customHeight="1" x14ac:dyDescent="0.2">
      <c r="B360" s="29"/>
      <c r="C360" s="4"/>
      <c r="D360" s="4"/>
      <c r="E360" s="4"/>
      <c r="F360" s="4"/>
    </row>
    <row r="361" spans="2:6" ht="20.100000000000001" customHeight="1" x14ac:dyDescent="0.2">
      <c r="B361" s="29"/>
      <c r="C361" s="4"/>
      <c r="D361" s="4"/>
      <c r="E361" s="4"/>
      <c r="F361" s="4"/>
    </row>
    <row r="362" spans="2:6" ht="20.100000000000001" customHeight="1" x14ac:dyDescent="0.2">
      <c r="B362" s="29"/>
      <c r="C362" s="4"/>
      <c r="D362" s="4"/>
      <c r="E362" s="4"/>
      <c r="F362" s="4"/>
    </row>
    <row r="363" spans="2:6" ht="20.100000000000001" customHeight="1" x14ac:dyDescent="0.2">
      <c r="B363" s="29"/>
      <c r="C363" s="4"/>
      <c r="D363" s="4"/>
      <c r="E363" s="4"/>
      <c r="F363" s="4"/>
    </row>
    <row r="364" spans="2:6" ht="20.100000000000001" customHeight="1" x14ac:dyDescent="0.2">
      <c r="B364" s="29"/>
      <c r="C364" s="4"/>
      <c r="D364" s="4"/>
      <c r="E364" s="4"/>
      <c r="F364" s="4"/>
    </row>
    <row r="365" spans="2:6" ht="20.100000000000001" customHeight="1" x14ac:dyDescent="0.2">
      <c r="B365" s="29"/>
      <c r="C365" s="4"/>
      <c r="D365" s="4"/>
      <c r="E365" s="4"/>
      <c r="F365" s="4"/>
    </row>
    <row r="366" spans="2:6" ht="20.100000000000001" customHeight="1" x14ac:dyDescent="0.2">
      <c r="B366" s="29"/>
      <c r="C366" s="4"/>
      <c r="D366" s="4"/>
      <c r="E366" s="4"/>
      <c r="F366" s="4"/>
    </row>
    <row r="367" spans="2:6" ht="20.100000000000001" customHeight="1" x14ac:dyDescent="0.2">
      <c r="B367" s="29"/>
      <c r="C367" s="4"/>
      <c r="D367" s="4"/>
      <c r="E367" s="4"/>
      <c r="F367" s="4"/>
    </row>
    <row r="368" spans="2:6" ht="20.100000000000001" customHeight="1" x14ac:dyDescent="0.2">
      <c r="B368" s="29"/>
      <c r="C368" s="4"/>
      <c r="D368" s="4"/>
      <c r="E368" s="4"/>
      <c r="F368" s="4"/>
    </row>
    <row r="369" spans="2:6" ht="20.100000000000001" customHeight="1" x14ac:dyDescent="0.2">
      <c r="B369" s="29"/>
      <c r="C369" s="4"/>
      <c r="D369" s="4"/>
      <c r="E369" s="4"/>
      <c r="F369" s="4"/>
    </row>
    <row r="370" spans="2:6" ht="20.100000000000001" customHeight="1" x14ac:dyDescent="0.2">
      <c r="B370" s="29"/>
      <c r="C370" s="4"/>
      <c r="D370" s="4"/>
      <c r="E370" s="4"/>
      <c r="F370" s="4"/>
    </row>
    <row r="371" spans="2:6" ht="20.100000000000001" customHeight="1" x14ac:dyDescent="0.2">
      <c r="B371" s="29"/>
      <c r="C371" s="4"/>
      <c r="D371" s="4"/>
      <c r="E371" s="4"/>
      <c r="F371" s="4"/>
    </row>
    <row r="372" spans="2:6" ht="20.100000000000001" customHeight="1" x14ac:dyDescent="0.2">
      <c r="B372" s="29"/>
      <c r="C372" s="4"/>
      <c r="D372" s="4"/>
      <c r="E372" s="4"/>
      <c r="F372" s="4"/>
    </row>
    <row r="373" spans="2:6" ht="20.100000000000001" customHeight="1" x14ac:dyDescent="0.2">
      <c r="B373" s="29"/>
      <c r="C373" s="4"/>
      <c r="D373" s="4"/>
      <c r="E373" s="4"/>
      <c r="F373" s="4"/>
    </row>
    <row r="374" spans="2:6" ht="20.100000000000001" customHeight="1" x14ac:dyDescent="0.2">
      <c r="B374" s="29"/>
      <c r="C374" s="4"/>
      <c r="D374" s="4"/>
      <c r="E374" s="4"/>
      <c r="F374" s="4"/>
    </row>
    <row r="375" spans="2:6" ht="20.100000000000001" customHeight="1" x14ac:dyDescent="0.2">
      <c r="B375" s="29"/>
      <c r="C375" s="4"/>
      <c r="D375" s="4"/>
      <c r="E375" s="4"/>
      <c r="F375" s="4"/>
    </row>
    <row r="376" spans="2:6" ht="20.100000000000001" customHeight="1" x14ac:dyDescent="0.2">
      <c r="B376" s="29"/>
      <c r="C376" s="4"/>
      <c r="D376" s="4"/>
      <c r="E376" s="4"/>
      <c r="F376" s="4"/>
    </row>
    <row r="377" spans="2:6" ht="20.100000000000001" customHeight="1" x14ac:dyDescent="0.2">
      <c r="B377" s="29"/>
      <c r="C377" s="4"/>
      <c r="D377" s="4"/>
      <c r="E377" s="4"/>
      <c r="F377" s="4"/>
    </row>
    <row r="378" spans="2:6" ht="20.100000000000001" customHeight="1" x14ac:dyDescent="0.2">
      <c r="B378" s="29"/>
      <c r="C378" s="4"/>
      <c r="D378" s="4"/>
      <c r="E378" s="4"/>
      <c r="F378" s="4"/>
    </row>
    <row r="379" spans="2:6" ht="20.100000000000001" customHeight="1" x14ac:dyDescent="0.2">
      <c r="B379" s="29"/>
      <c r="C379" s="4"/>
      <c r="D379" s="4"/>
      <c r="E379" s="4"/>
      <c r="F379" s="4"/>
    </row>
    <row r="380" spans="2:6" ht="20.100000000000001" customHeight="1" x14ac:dyDescent="0.2">
      <c r="B380" s="29"/>
      <c r="C380" s="4"/>
      <c r="D380" s="4"/>
      <c r="E380" s="4"/>
      <c r="F380" s="4"/>
    </row>
    <row r="381" spans="2:6" ht="20.100000000000001" customHeight="1" x14ac:dyDescent="0.2">
      <c r="B381" s="29"/>
      <c r="C381" s="4"/>
      <c r="D381" s="4"/>
      <c r="E381" s="4"/>
      <c r="F381" s="4"/>
    </row>
    <row r="382" spans="2:6" ht="20.100000000000001" customHeight="1" x14ac:dyDescent="0.2">
      <c r="B382" s="29"/>
      <c r="C382" s="4"/>
      <c r="D382" s="4"/>
      <c r="E382" s="4"/>
      <c r="F382" s="4"/>
    </row>
    <row r="383" spans="2:6" ht="20.100000000000001" customHeight="1" x14ac:dyDescent="0.2">
      <c r="B383" s="29"/>
      <c r="C383" s="4"/>
      <c r="D383" s="4"/>
      <c r="E383" s="4"/>
      <c r="F383" s="4"/>
    </row>
    <row r="384" spans="2:6" ht="20.100000000000001" customHeight="1" x14ac:dyDescent="0.2">
      <c r="B384" s="29"/>
      <c r="C384" s="4"/>
      <c r="D384" s="4"/>
      <c r="E384" s="4"/>
      <c r="F384" s="4"/>
    </row>
    <row r="385" spans="2:6" ht="20.100000000000001" customHeight="1" x14ac:dyDescent="0.2">
      <c r="B385" s="29"/>
      <c r="C385" s="4"/>
      <c r="D385" s="4"/>
      <c r="E385" s="4"/>
      <c r="F385" s="4"/>
    </row>
    <row r="386" spans="2:6" ht="20.100000000000001" customHeight="1" x14ac:dyDescent="0.2">
      <c r="B386" s="29"/>
      <c r="C386" s="4"/>
      <c r="D386" s="4"/>
      <c r="E386" s="4"/>
      <c r="F386" s="4"/>
    </row>
    <row r="387" spans="2:6" ht="20.100000000000001" customHeight="1" x14ac:dyDescent="0.2">
      <c r="B387" s="29"/>
      <c r="C387" s="4"/>
      <c r="D387" s="4"/>
      <c r="E387" s="4"/>
      <c r="F387" s="4"/>
    </row>
    <row r="388" spans="2:6" ht="20.100000000000001" customHeight="1" x14ac:dyDescent="0.2">
      <c r="B388" s="29"/>
      <c r="C388" s="4"/>
      <c r="D388" s="4"/>
      <c r="E388" s="4"/>
      <c r="F388" s="4"/>
    </row>
    <row r="389" spans="2:6" ht="20.100000000000001" customHeight="1" x14ac:dyDescent="0.2">
      <c r="B389" s="29"/>
      <c r="C389" s="4"/>
      <c r="D389" s="4"/>
      <c r="E389" s="4"/>
      <c r="F389" s="4"/>
    </row>
    <row r="390" spans="2:6" ht="20.100000000000001" customHeight="1" x14ac:dyDescent="0.2">
      <c r="B390" s="29"/>
      <c r="C390" s="4"/>
      <c r="D390" s="4"/>
      <c r="E390" s="4"/>
      <c r="F390" s="4"/>
    </row>
    <row r="391" spans="2:6" ht="20.100000000000001" customHeight="1" x14ac:dyDescent="0.2">
      <c r="B391" s="29"/>
      <c r="C391" s="4"/>
      <c r="D391" s="4"/>
      <c r="E391" s="4"/>
      <c r="F391" s="4"/>
    </row>
    <row r="392" spans="2:6" ht="20.100000000000001" customHeight="1" x14ac:dyDescent="0.2">
      <c r="B392" s="29"/>
      <c r="C392" s="4"/>
      <c r="D392" s="4"/>
      <c r="E392" s="4"/>
      <c r="F392" s="4"/>
    </row>
    <row r="393" spans="2:6" ht="20.100000000000001" customHeight="1" x14ac:dyDescent="0.2">
      <c r="B393" s="29"/>
      <c r="C393" s="4"/>
      <c r="D393" s="4"/>
      <c r="E393" s="4"/>
      <c r="F393" s="4"/>
    </row>
    <row r="394" spans="2:6" ht="20.100000000000001" customHeight="1" x14ac:dyDescent="0.2">
      <c r="B394" s="29"/>
      <c r="C394" s="4"/>
      <c r="D394" s="4"/>
      <c r="E394" s="4"/>
      <c r="F394" s="4"/>
    </row>
    <row r="395" spans="2:6" ht="20.100000000000001" customHeight="1" x14ac:dyDescent="0.2">
      <c r="B395" s="29"/>
      <c r="C395" s="4"/>
      <c r="D395" s="4"/>
      <c r="E395" s="4"/>
      <c r="F395" s="4"/>
    </row>
    <row r="396" spans="2:6" ht="20.100000000000001" customHeight="1" x14ac:dyDescent="0.2">
      <c r="B396" s="29"/>
      <c r="C396" s="4"/>
      <c r="D396" s="4"/>
      <c r="E396" s="4"/>
      <c r="F396" s="4"/>
    </row>
    <row r="397" spans="2:6" ht="20.100000000000001" customHeight="1" x14ac:dyDescent="0.2">
      <c r="B397" s="29"/>
      <c r="C397" s="4"/>
      <c r="D397" s="4"/>
      <c r="E397" s="4"/>
      <c r="F397" s="4"/>
    </row>
    <row r="398" spans="2:6" ht="20.100000000000001" customHeight="1" x14ac:dyDescent="0.2">
      <c r="B398" s="29"/>
      <c r="C398" s="4"/>
      <c r="D398" s="4"/>
      <c r="E398" s="4"/>
      <c r="F398" s="4"/>
    </row>
    <row r="399" spans="2:6" ht="20.100000000000001" customHeight="1" x14ac:dyDescent="0.2">
      <c r="B399" s="29"/>
      <c r="C399" s="4"/>
      <c r="D399" s="4"/>
      <c r="E399" s="4"/>
      <c r="F399" s="4"/>
    </row>
    <row r="400" spans="2:6" ht="20.100000000000001" customHeight="1" x14ac:dyDescent="0.2">
      <c r="B400" s="29"/>
      <c r="C400" s="4"/>
      <c r="D400" s="4"/>
      <c r="E400" s="4"/>
      <c r="F400" s="4"/>
    </row>
    <row r="401" spans="2:6" ht="20.100000000000001" customHeight="1" x14ac:dyDescent="0.2">
      <c r="B401" s="29"/>
      <c r="C401" s="4"/>
      <c r="D401" s="4"/>
      <c r="E401" s="4"/>
      <c r="F401" s="4"/>
    </row>
    <row r="402" spans="2:6" ht="20.100000000000001" customHeight="1" x14ac:dyDescent="0.2">
      <c r="B402" s="29"/>
      <c r="C402" s="4"/>
      <c r="D402" s="4"/>
      <c r="E402" s="4"/>
      <c r="F402" s="4"/>
    </row>
    <row r="403" spans="2:6" ht="20.100000000000001" customHeight="1" x14ac:dyDescent="0.2">
      <c r="B403" s="29"/>
      <c r="C403" s="4"/>
      <c r="D403" s="4"/>
      <c r="E403" s="4"/>
      <c r="F403" s="4"/>
    </row>
    <row r="404" spans="2:6" ht="20.100000000000001" customHeight="1" x14ac:dyDescent="0.2">
      <c r="B404" s="29"/>
      <c r="C404" s="4"/>
      <c r="D404" s="4"/>
      <c r="E404" s="4"/>
      <c r="F404" s="4"/>
    </row>
    <row r="405" spans="2:6" ht="20.100000000000001" customHeight="1" x14ac:dyDescent="0.2">
      <c r="B405" s="29"/>
      <c r="C405" s="4"/>
      <c r="D405" s="4"/>
      <c r="E405" s="4"/>
      <c r="F405" s="4"/>
    </row>
    <row r="406" spans="2:6" ht="20.100000000000001" customHeight="1" x14ac:dyDescent="0.2">
      <c r="B406" s="29"/>
      <c r="C406" s="4"/>
      <c r="D406" s="4"/>
      <c r="E406" s="4"/>
      <c r="F406" s="4"/>
    </row>
    <row r="407" spans="2:6" ht="20.100000000000001" customHeight="1" x14ac:dyDescent="0.2">
      <c r="B407" s="29"/>
      <c r="C407" s="4"/>
      <c r="D407" s="4"/>
      <c r="E407" s="4"/>
      <c r="F407" s="4"/>
    </row>
    <row r="408" spans="2:6" ht="20.100000000000001" customHeight="1" x14ac:dyDescent="0.2">
      <c r="B408" s="29"/>
      <c r="C408" s="4"/>
      <c r="D408" s="4"/>
      <c r="E408" s="4"/>
      <c r="F408" s="4"/>
    </row>
    <row r="409" spans="2:6" ht="20.100000000000001" customHeight="1" x14ac:dyDescent="0.2">
      <c r="B409" s="29"/>
      <c r="C409" s="4"/>
      <c r="D409" s="4"/>
      <c r="E409" s="4"/>
      <c r="F409" s="4"/>
    </row>
    <row r="410" spans="2:6" ht="20.100000000000001" customHeight="1" x14ac:dyDescent="0.2">
      <c r="B410" s="29"/>
      <c r="C410" s="4"/>
      <c r="D410" s="4"/>
      <c r="E410" s="4"/>
      <c r="F410" s="4"/>
    </row>
    <row r="411" spans="2:6" ht="20.100000000000001" customHeight="1" x14ac:dyDescent="0.2">
      <c r="B411" s="29"/>
      <c r="C411" s="4"/>
      <c r="D411" s="4"/>
      <c r="E411" s="4"/>
      <c r="F411" s="4"/>
    </row>
    <row r="412" spans="2:6" ht="20.100000000000001" customHeight="1" x14ac:dyDescent="0.2">
      <c r="B412" s="29"/>
      <c r="C412" s="4"/>
      <c r="D412" s="4"/>
      <c r="E412" s="4"/>
      <c r="F412" s="4"/>
    </row>
    <row r="413" spans="2:6" ht="20.100000000000001" customHeight="1" x14ac:dyDescent="0.2">
      <c r="B413" s="29"/>
      <c r="C413" s="4"/>
      <c r="D413" s="4"/>
      <c r="E413" s="4"/>
      <c r="F413" s="4"/>
    </row>
    <row r="414" spans="2:6" ht="20.100000000000001" customHeight="1" x14ac:dyDescent="0.2">
      <c r="B414" s="29"/>
      <c r="C414" s="4"/>
      <c r="D414" s="4"/>
      <c r="E414" s="4"/>
      <c r="F414" s="4"/>
    </row>
    <row r="415" spans="2:6" ht="20.100000000000001" customHeight="1" x14ac:dyDescent="0.2">
      <c r="B415" s="29"/>
      <c r="C415" s="4"/>
      <c r="D415" s="4"/>
      <c r="E415" s="4"/>
      <c r="F415" s="4"/>
    </row>
    <row r="416" spans="2:6" ht="20.100000000000001" customHeight="1" x14ac:dyDescent="0.2">
      <c r="B416" s="29"/>
      <c r="C416" s="4"/>
      <c r="D416" s="4"/>
      <c r="E416" s="4"/>
      <c r="F416" s="4"/>
    </row>
    <row r="417" spans="2:6" ht="20.100000000000001" customHeight="1" x14ac:dyDescent="0.2">
      <c r="B417" s="29"/>
      <c r="C417" s="4"/>
      <c r="D417" s="4"/>
      <c r="E417" s="4"/>
      <c r="F417" s="4"/>
    </row>
    <row r="418" spans="2:6" ht="20.100000000000001" customHeight="1" x14ac:dyDescent="0.2">
      <c r="B418" s="29"/>
      <c r="C418" s="4"/>
      <c r="D418" s="4"/>
      <c r="E418" s="4"/>
      <c r="F418" s="4"/>
    </row>
    <row r="419" spans="2:6" ht="20.100000000000001" customHeight="1" x14ac:dyDescent="0.2">
      <c r="B419" s="29"/>
      <c r="C419" s="4"/>
      <c r="D419" s="4"/>
      <c r="E419" s="4"/>
      <c r="F419" s="4"/>
    </row>
    <row r="420" spans="2:6" ht="20.100000000000001" customHeight="1" x14ac:dyDescent="0.2">
      <c r="B420" s="29"/>
      <c r="C420" s="4"/>
      <c r="D420" s="4"/>
      <c r="E420" s="4"/>
      <c r="F420" s="4"/>
    </row>
    <row r="421" spans="2:6" ht="20.100000000000001" customHeight="1" x14ac:dyDescent="0.2">
      <c r="B421" s="29"/>
      <c r="C421" s="4"/>
      <c r="D421" s="4"/>
      <c r="E421" s="4"/>
      <c r="F421" s="4"/>
    </row>
    <row r="422" spans="2:6" ht="20.100000000000001" customHeight="1" x14ac:dyDescent="0.2">
      <c r="B422" s="29"/>
      <c r="C422" s="4"/>
      <c r="D422" s="4"/>
      <c r="E422" s="4"/>
      <c r="F422" s="4"/>
    </row>
    <row r="423" spans="2:6" ht="20.100000000000001" customHeight="1" x14ac:dyDescent="0.2">
      <c r="B423" s="29"/>
      <c r="C423" s="4"/>
      <c r="D423" s="4"/>
      <c r="E423" s="4"/>
      <c r="F423" s="4"/>
    </row>
    <row r="424" spans="2:6" ht="20.100000000000001" customHeight="1" x14ac:dyDescent="0.2">
      <c r="B424" s="29"/>
      <c r="C424" s="4"/>
      <c r="D424" s="4"/>
      <c r="E424" s="4"/>
      <c r="F424" s="4"/>
    </row>
    <row r="425" spans="2:6" ht="20.100000000000001" customHeight="1" x14ac:dyDescent="0.2">
      <c r="B425" s="29"/>
      <c r="C425" s="4"/>
      <c r="D425" s="4"/>
      <c r="E425" s="4"/>
      <c r="F425" s="4"/>
    </row>
    <row r="426" spans="2:6" ht="20.100000000000001" customHeight="1" x14ac:dyDescent="0.2">
      <c r="B426" s="29"/>
      <c r="C426" s="4"/>
      <c r="D426" s="4"/>
      <c r="E426" s="4"/>
      <c r="F426" s="4"/>
    </row>
    <row r="427" spans="2:6" ht="20.100000000000001" customHeight="1" x14ac:dyDescent="0.2">
      <c r="B427" s="29"/>
      <c r="C427" s="4"/>
      <c r="D427" s="4"/>
      <c r="E427" s="4"/>
      <c r="F427" s="4"/>
    </row>
    <row r="428" spans="2:6" ht="20.100000000000001" customHeight="1" x14ac:dyDescent="0.2">
      <c r="B428" s="29"/>
      <c r="C428" s="4"/>
      <c r="D428" s="4"/>
      <c r="E428" s="4"/>
      <c r="F428" s="4"/>
    </row>
    <row r="429" spans="2:6" ht="20.100000000000001" customHeight="1" x14ac:dyDescent="0.2">
      <c r="B429" s="29"/>
      <c r="C429" s="4"/>
      <c r="D429" s="4"/>
      <c r="E429" s="4"/>
      <c r="F429" s="4"/>
    </row>
    <row r="430" spans="2:6" ht="20.100000000000001" customHeight="1" x14ac:dyDescent="0.2">
      <c r="B430" s="29"/>
      <c r="C430" s="4"/>
      <c r="D430" s="4"/>
      <c r="E430" s="4"/>
      <c r="F430" s="4"/>
    </row>
    <row r="431" spans="2:6" ht="20.100000000000001" customHeight="1" x14ac:dyDescent="0.2">
      <c r="B431" s="29"/>
      <c r="C431" s="4"/>
      <c r="D431" s="4"/>
      <c r="E431" s="4"/>
      <c r="F431" s="4"/>
    </row>
    <row r="432" spans="2:6" ht="20.100000000000001" customHeight="1" x14ac:dyDescent="0.2">
      <c r="B432" s="29"/>
      <c r="C432" s="4"/>
      <c r="D432" s="4"/>
      <c r="E432" s="4"/>
      <c r="F432" s="4"/>
    </row>
    <row r="433" spans="2:6" ht="20.100000000000001" customHeight="1" x14ac:dyDescent="0.2">
      <c r="B433" s="29"/>
      <c r="C433" s="4"/>
      <c r="D433" s="4"/>
      <c r="E433" s="4"/>
      <c r="F433" s="4"/>
    </row>
    <row r="434" spans="2:6" ht="20.100000000000001" customHeight="1" x14ac:dyDescent="0.2">
      <c r="B434" s="29"/>
      <c r="C434" s="4"/>
      <c r="D434" s="4"/>
      <c r="E434" s="4"/>
      <c r="F434" s="4"/>
    </row>
    <row r="435" spans="2:6" ht="20.100000000000001" customHeight="1" x14ac:dyDescent="0.2">
      <c r="B435" s="29"/>
      <c r="C435" s="4"/>
      <c r="D435" s="4"/>
      <c r="E435" s="4"/>
      <c r="F435" s="4"/>
    </row>
    <row r="436" spans="2:6" ht="20.100000000000001" customHeight="1" x14ac:dyDescent="0.2">
      <c r="B436" s="29"/>
      <c r="C436" s="4"/>
      <c r="D436" s="4"/>
      <c r="E436" s="4"/>
      <c r="F436" s="4"/>
    </row>
    <row r="437" spans="2:6" ht="20.100000000000001" customHeight="1" x14ac:dyDescent="0.2">
      <c r="B437" s="29"/>
      <c r="C437" s="4"/>
      <c r="D437" s="4"/>
      <c r="E437" s="4"/>
      <c r="F437" s="4"/>
    </row>
    <row r="438" spans="2:6" ht="20.100000000000001" customHeight="1" x14ac:dyDescent="0.2">
      <c r="B438" s="29"/>
      <c r="C438" s="4"/>
      <c r="D438" s="4"/>
      <c r="E438" s="4"/>
      <c r="F438" s="4"/>
    </row>
    <row r="439" spans="2:6" ht="20.100000000000001" customHeight="1" x14ac:dyDescent="0.2">
      <c r="B439" s="29"/>
      <c r="C439" s="4"/>
      <c r="D439" s="4"/>
      <c r="E439" s="4"/>
      <c r="F439" s="4"/>
    </row>
    <row r="440" spans="2:6" ht="20.100000000000001" customHeight="1" x14ac:dyDescent="0.2">
      <c r="B440" s="29"/>
      <c r="C440" s="4"/>
      <c r="D440" s="4"/>
      <c r="E440" s="4"/>
      <c r="F440" s="4"/>
    </row>
    <row r="441" spans="2:6" ht="20.100000000000001" customHeight="1" x14ac:dyDescent="0.2">
      <c r="B441" s="29"/>
      <c r="C441" s="4"/>
      <c r="D441" s="4"/>
      <c r="E441" s="4"/>
      <c r="F441" s="4"/>
    </row>
    <row r="442" spans="2:6" ht="20.100000000000001" customHeight="1" x14ac:dyDescent="0.2">
      <c r="B442" s="29"/>
      <c r="C442" s="4"/>
      <c r="D442" s="4"/>
      <c r="E442" s="4"/>
      <c r="F442" s="4"/>
    </row>
    <row r="443" spans="2:6" ht="20.100000000000001" customHeight="1" x14ac:dyDescent="0.2">
      <c r="B443" s="29"/>
      <c r="C443" s="4"/>
      <c r="D443" s="4"/>
      <c r="E443" s="4"/>
      <c r="F443" s="4"/>
    </row>
    <row r="444" spans="2:6" ht="20.100000000000001" customHeight="1" x14ac:dyDescent="0.2">
      <c r="B444" s="29"/>
      <c r="C444" s="4"/>
      <c r="D444" s="4"/>
      <c r="E444" s="4"/>
      <c r="F444" s="4"/>
    </row>
    <row r="445" spans="2:6" ht="20.100000000000001" customHeight="1" x14ac:dyDescent="0.2">
      <c r="B445" s="29"/>
      <c r="C445" s="4"/>
      <c r="D445" s="4"/>
      <c r="E445" s="4"/>
      <c r="F445" s="4"/>
    </row>
    <row r="446" spans="2:6" ht="20.100000000000001" customHeight="1" x14ac:dyDescent="0.2">
      <c r="B446" s="29"/>
      <c r="C446" s="4"/>
      <c r="D446" s="4"/>
      <c r="E446" s="4"/>
      <c r="F446" s="4"/>
    </row>
    <row r="447" spans="2:6" ht="20.100000000000001" customHeight="1" x14ac:dyDescent="0.2">
      <c r="B447" s="29"/>
      <c r="C447" s="4"/>
      <c r="D447" s="4"/>
      <c r="E447" s="4"/>
      <c r="F447" s="4"/>
    </row>
    <row r="448" spans="2:6" ht="20.100000000000001" customHeight="1" x14ac:dyDescent="0.2">
      <c r="B448" s="29"/>
      <c r="C448" s="4"/>
      <c r="D448" s="4"/>
      <c r="E448" s="4"/>
      <c r="F448" s="4"/>
    </row>
    <row r="449" spans="2:6" ht="20.100000000000001" customHeight="1" x14ac:dyDescent="0.2">
      <c r="B449" s="29"/>
      <c r="C449" s="4"/>
      <c r="D449" s="4"/>
      <c r="E449" s="4"/>
      <c r="F449" s="4"/>
    </row>
    <row r="450" spans="2:6" ht="20.100000000000001" customHeight="1" x14ac:dyDescent="0.2">
      <c r="B450" s="29"/>
      <c r="C450" s="4"/>
      <c r="D450" s="4"/>
      <c r="E450" s="4"/>
      <c r="F450" s="4"/>
    </row>
    <row r="451" spans="2:6" ht="20.100000000000001" customHeight="1" x14ac:dyDescent="0.2">
      <c r="B451" s="29"/>
      <c r="C451" s="4"/>
      <c r="D451" s="4"/>
      <c r="E451" s="4"/>
      <c r="F451" s="4"/>
    </row>
    <row r="452" spans="2:6" ht="20.100000000000001" customHeight="1" x14ac:dyDescent="0.2">
      <c r="B452" s="29"/>
      <c r="C452" s="4"/>
      <c r="D452" s="4"/>
      <c r="E452" s="4"/>
      <c r="F452" s="4"/>
    </row>
    <row r="453" spans="2:6" ht="20.100000000000001" customHeight="1" x14ac:dyDescent="0.2">
      <c r="B453" s="29"/>
      <c r="C453" s="4"/>
      <c r="D453" s="4"/>
      <c r="E453" s="4"/>
      <c r="F453" s="4"/>
    </row>
    <row r="454" spans="2:6" ht="20.100000000000001" customHeight="1" x14ac:dyDescent="0.2">
      <c r="B454" s="29"/>
      <c r="C454" s="4"/>
      <c r="D454" s="4"/>
      <c r="E454" s="4"/>
      <c r="F454" s="4"/>
    </row>
    <row r="455" spans="2:6" ht="20.100000000000001" customHeight="1" x14ac:dyDescent="0.2">
      <c r="B455" s="29"/>
      <c r="C455" s="4"/>
      <c r="D455" s="4"/>
      <c r="E455" s="4"/>
      <c r="F455" s="4"/>
    </row>
    <row r="456" spans="2:6" ht="20.100000000000001" customHeight="1" x14ac:dyDescent="0.2">
      <c r="B456" s="29"/>
      <c r="C456" s="4"/>
      <c r="D456" s="4"/>
      <c r="E456" s="4"/>
      <c r="F456" s="4"/>
    </row>
    <row r="457" spans="2:6" ht="20.100000000000001" customHeight="1" x14ac:dyDescent="0.2">
      <c r="B457" s="29"/>
      <c r="C457" s="4"/>
      <c r="D457" s="4"/>
      <c r="E457" s="4"/>
      <c r="F457" s="4"/>
    </row>
    <row r="458" spans="2:6" ht="20.100000000000001" customHeight="1" x14ac:dyDescent="0.2">
      <c r="B458" s="29"/>
      <c r="C458" s="4"/>
      <c r="D458" s="4"/>
      <c r="E458" s="4"/>
      <c r="F458" s="4"/>
    </row>
    <row r="459" spans="2:6" ht="20.100000000000001" customHeight="1" x14ac:dyDescent="0.2">
      <c r="B459" s="29"/>
      <c r="C459" s="4"/>
      <c r="D459" s="4"/>
      <c r="E459" s="4"/>
      <c r="F459" s="4"/>
    </row>
    <row r="460" spans="2:6" ht="20.100000000000001" customHeight="1" x14ac:dyDescent="0.2">
      <c r="B460" s="29"/>
      <c r="C460" s="4"/>
      <c r="D460" s="4"/>
      <c r="E460" s="4"/>
      <c r="F460" s="4"/>
    </row>
    <row r="461" spans="2:6" ht="20.100000000000001" customHeight="1" x14ac:dyDescent="0.2">
      <c r="B461" s="29"/>
      <c r="C461" s="4"/>
      <c r="D461" s="4"/>
      <c r="E461" s="4"/>
      <c r="F461" s="4"/>
    </row>
    <row r="462" spans="2:6" ht="20.100000000000001" customHeight="1" x14ac:dyDescent="0.2">
      <c r="B462" s="29"/>
      <c r="C462" s="4"/>
      <c r="D462" s="4"/>
      <c r="E462" s="4"/>
      <c r="F462" s="4"/>
    </row>
    <row r="463" spans="2:6" ht="20.100000000000001" customHeight="1" x14ac:dyDescent="0.2">
      <c r="B463" s="29"/>
      <c r="C463" s="4"/>
      <c r="D463" s="4"/>
      <c r="E463" s="4"/>
      <c r="F463" s="4"/>
    </row>
    <row r="464" spans="2:6" ht="20.100000000000001" customHeight="1" x14ac:dyDescent="0.2">
      <c r="B464" s="29"/>
      <c r="C464" s="4"/>
      <c r="D464" s="4"/>
      <c r="E464" s="4"/>
      <c r="F464" s="4"/>
    </row>
    <row r="465" spans="2:6" ht="20.100000000000001" customHeight="1" x14ac:dyDescent="0.2">
      <c r="B465" s="29"/>
      <c r="C465" s="4"/>
      <c r="D465" s="4"/>
      <c r="E465" s="4"/>
      <c r="F465" s="4"/>
    </row>
    <row r="466" spans="2:6" ht="20.100000000000001" customHeight="1" x14ac:dyDescent="0.2">
      <c r="B466" s="29"/>
      <c r="C466" s="4"/>
      <c r="D466" s="4"/>
      <c r="E466" s="4"/>
      <c r="F466" s="4"/>
    </row>
    <row r="467" spans="2:6" ht="20.100000000000001" customHeight="1" x14ac:dyDescent="0.2">
      <c r="B467" s="29"/>
      <c r="C467" s="4"/>
      <c r="D467" s="4"/>
      <c r="E467" s="4"/>
      <c r="F467" s="4"/>
    </row>
    <row r="468" spans="2:6" ht="20.100000000000001" customHeight="1" x14ac:dyDescent="0.2">
      <c r="B468" s="29"/>
      <c r="C468" s="4"/>
      <c r="D468" s="4"/>
      <c r="E468" s="4"/>
      <c r="F468" s="4"/>
    </row>
    <row r="469" spans="2:6" ht="20.100000000000001" customHeight="1" x14ac:dyDescent="0.2">
      <c r="B469" s="29"/>
      <c r="C469" s="4"/>
      <c r="D469" s="4"/>
      <c r="E469" s="4"/>
      <c r="F469" s="4"/>
    </row>
    <row r="470" spans="2:6" ht="20.100000000000001" customHeight="1" x14ac:dyDescent="0.2">
      <c r="B470" s="29"/>
      <c r="C470" s="4"/>
      <c r="D470" s="4"/>
      <c r="E470" s="4"/>
      <c r="F470" s="4"/>
    </row>
    <row r="471" spans="2:6" ht="20.100000000000001" customHeight="1" x14ac:dyDescent="0.2">
      <c r="B471" s="29"/>
      <c r="C471" s="4"/>
      <c r="D471" s="4"/>
      <c r="E471" s="4"/>
      <c r="F471" s="4"/>
    </row>
    <row r="472" spans="2:6" ht="20.100000000000001" customHeight="1" x14ac:dyDescent="0.2">
      <c r="B472" s="29"/>
      <c r="C472" s="4"/>
      <c r="D472" s="4"/>
      <c r="E472" s="4"/>
      <c r="F472" s="4"/>
    </row>
    <row r="473" spans="2:6" ht="20.100000000000001" customHeight="1" x14ac:dyDescent="0.2">
      <c r="B473" s="29"/>
      <c r="C473" s="4"/>
      <c r="D473" s="4"/>
      <c r="E473" s="4"/>
      <c r="F473" s="4"/>
    </row>
    <row r="474" spans="2:6" ht="20.100000000000001" customHeight="1" x14ac:dyDescent="0.2">
      <c r="B474" s="29"/>
      <c r="C474" s="4"/>
      <c r="D474" s="4"/>
      <c r="E474" s="4"/>
      <c r="F474" s="4"/>
    </row>
    <row r="475" spans="2:6" ht="20.100000000000001" customHeight="1" x14ac:dyDescent="0.2">
      <c r="B475" s="29"/>
      <c r="C475" s="4"/>
      <c r="D475" s="4"/>
      <c r="E475" s="4"/>
      <c r="F475" s="4"/>
    </row>
    <row r="476" spans="2:6" ht="20.100000000000001" customHeight="1" x14ac:dyDescent="0.2">
      <c r="B476" s="29"/>
      <c r="C476" s="4"/>
      <c r="D476" s="4"/>
      <c r="E476" s="4"/>
      <c r="F476" s="4"/>
    </row>
    <row r="477" spans="2:6" ht="20.100000000000001" customHeight="1" x14ac:dyDescent="0.2">
      <c r="B477" s="29"/>
      <c r="C477" s="4"/>
      <c r="D477" s="4"/>
      <c r="E477" s="4"/>
      <c r="F477" s="4"/>
    </row>
    <row r="478" spans="2:6" ht="20.100000000000001" customHeight="1" x14ac:dyDescent="0.2">
      <c r="B478" s="29"/>
      <c r="C478" s="4"/>
      <c r="D478" s="4"/>
      <c r="E478" s="4"/>
      <c r="F478" s="4"/>
    </row>
    <row r="479" spans="2:6" ht="20.100000000000001" customHeight="1" x14ac:dyDescent="0.2">
      <c r="B479" s="29"/>
      <c r="C479" s="4"/>
      <c r="D479" s="4"/>
      <c r="E479" s="4"/>
      <c r="F479" s="4"/>
    </row>
    <row r="480" spans="2:6" ht="20.100000000000001" customHeight="1" x14ac:dyDescent="0.2">
      <c r="B480" s="29"/>
      <c r="C480" s="4"/>
      <c r="D480" s="4"/>
      <c r="E480" s="4"/>
      <c r="F480" s="4"/>
    </row>
    <row r="481" spans="2:6" ht="20.100000000000001" customHeight="1" x14ac:dyDescent="0.2">
      <c r="B481" s="29"/>
      <c r="C481" s="4"/>
      <c r="D481" s="4"/>
      <c r="E481" s="4"/>
      <c r="F481" s="4"/>
    </row>
    <row r="482" spans="2:6" ht="20.100000000000001" customHeight="1" x14ac:dyDescent="0.2">
      <c r="B482" s="29"/>
      <c r="C482" s="4"/>
      <c r="D482" s="4"/>
      <c r="E482" s="4"/>
      <c r="F482" s="4"/>
    </row>
    <row r="483" spans="2:6" ht="20.100000000000001" customHeight="1" x14ac:dyDescent="0.2">
      <c r="B483" s="29"/>
      <c r="C483" s="4"/>
      <c r="D483" s="4"/>
      <c r="E483" s="4"/>
      <c r="F483" s="4"/>
    </row>
    <row r="484" spans="2:6" ht="20.100000000000001" customHeight="1" x14ac:dyDescent="0.2">
      <c r="B484" s="29"/>
      <c r="C484" s="4"/>
      <c r="D484" s="4"/>
      <c r="E484" s="4"/>
      <c r="F484" s="4"/>
    </row>
    <row r="485" spans="2:6" ht="20.100000000000001" customHeight="1" x14ac:dyDescent="0.2">
      <c r="B485" s="29"/>
      <c r="C485" s="4"/>
      <c r="D485" s="4"/>
      <c r="E485" s="4"/>
      <c r="F485" s="4"/>
    </row>
    <row r="486" spans="2:6" ht="20.100000000000001" customHeight="1" x14ac:dyDescent="0.2">
      <c r="B486" s="29"/>
      <c r="C486" s="4"/>
      <c r="D486" s="4"/>
      <c r="E486" s="4"/>
      <c r="F486" s="4"/>
    </row>
    <row r="487" spans="2:6" ht="20.100000000000001" customHeight="1" x14ac:dyDescent="0.2">
      <c r="B487" s="29"/>
      <c r="C487" s="4"/>
      <c r="D487" s="4"/>
      <c r="E487" s="4"/>
      <c r="F487" s="4"/>
    </row>
    <row r="488" spans="2:6" ht="20.100000000000001" customHeight="1" x14ac:dyDescent="0.2">
      <c r="B488" s="29"/>
      <c r="C488" s="4"/>
      <c r="D488" s="4"/>
      <c r="E488" s="4"/>
      <c r="F488" s="4"/>
    </row>
    <row r="489" spans="2:6" ht="20.100000000000001" customHeight="1" x14ac:dyDescent="0.2">
      <c r="B489" s="29"/>
      <c r="C489" s="4"/>
      <c r="D489" s="4"/>
      <c r="E489" s="4"/>
      <c r="F489" s="4"/>
    </row>
    <row r="490" spans="2:6" ht="20.100000000000001" customHeight="1" x14ac:dyDescent="0.2">
      <c r="B490" s="29"/>
      <c r="C490" s="4"/>
      <c r="D490" s="4"/>
      <c r="E490" s="4"/>
      <c r="F490" s="4"/>
    </row>
    <row r="491" spans="2:6" ht="20.100000000000001" customHeight="1" x14ac:dyDescent="0.2">
      <c r="B491" s="29"/>
      <c r="C491" s="4"/>
      <c r="D491" s="4"/>
      <c r="E491" s="4"/>
      <c r="F491" s="4"/>
    </row>
    <row r="492" spans="2:6" ht="20.100000000000001" customHeight="1" x14ac:dyDescent="0.2">
      <c r="B492" s="29"/>
      <c r="C492" s="4"/>
      <c r="D492" s="4"/>
      <c r="E492" s="4"/>
      <c r="F492" s="4"/>
    </row>
    <row r="493" spans="2:6" ht="20.100000000000001" customHeight="1" x14ac:dyDescent="0.2">
      <c r="B493" s="29"/>
      <c r="C493" s="4"/>
      <c r="D493" s="4"/>
      <c r="E493" s="4"/>
      <c r="F493" s="4"/>
    </row>
    <row r="494" spans="2:6" ht="20.100000000000001" customHeight="1" x14ac:dyDescent="0.2">
      <c r="B494" s="29"/>
      <c r="C494" s="4"/>
      <c r="D494" s="4"/>
      <c r="E494" s="4"/>
      <c r="F494" s="4"/>
    </row>
    <row r="495" spans="2:6" ht="20.100000000000001" customHeight="1" x14ac:dyDescent="0.2">
      <c r="B495" s="29"/>
      <c r="C495" s="4"/>
      <c r="D495" s="4"/>
      <c r="E495" s="4"/>
      <c r="F495" s="4"/>
    </row>
    <row r="496" spans="2:6" ht="20.100000000000001" customHeight="1" x14ac:dyDescent="0.2">
      <c r="B496" s="29"/>
      <c r="C496" s="4"/>
      <c r="D496" s="4"/>
      <c r="E496" s="4"/>
      <c r="F496" s="4"/>
    </row>
    <row r="497" spans="2:6" ht="20.100000000000001" customHeight="1" x14ac:dyDescent="0.2">
      <c r="B497" s="29"/>
      <c r="C497" s="4"/>
      <c r="D497" s="4"/>
      <c r="E497" s="4"/>
      <c r="F497" s="4"/>
    </row>
    <row r="498" spans="2:6" ht="20.100000000000001" customHeight="1" x14ac:dyDescent="0.2">
      <c r="B498" s="29"/>
      <c r="C498" s="4"/>
      <c r="D498" s="4"/>
      <c r="E498" s="4"/>
      <c r="F498" s="4"/>
    </row>
    <row r="499" spans="2:6" ht="20.100000000000001" customHeight="1" x14ac:dyDescent="0.2">
      <c r="B499" s="29"/>
      <c r="C499" s="4"/>
      <c r="D499" s="4"/>
      <c r="E499" s="4"/>
      <c r="F499" s="4"/>
    </row>
    <row r="500" spans="2:6" ht="20.100000000000001" customHeight="1" x14ac:dyDescent="0.2">
      <c r="B500" s="29"/>
      <c r="C500" s="4"/>
      <c r="D500" s="4"/>
      <c r="E500" s="4"/>
      <c r="F500" s="4"/>
    </row>
    <row r="501" spans="2:6" ht="20.100000000000001" customHeight="1" x14ac:dyDescent="0.2">
      <c r="B501" s="29"/>
      <c r="C501" s="4"/>
      <c r="D501" s="4"/>
      <c r="E501" s="4"/>
      <c r="F501" s="4"/>
    </row>
    <row r="502" spans="2:6" ht="20.100000000000001" customHeight="1" x14ac:dyDescent="0.2">
      <c r="B502" s="29"/>
      <c r="C502" s="4"/>
      <c r="D502" s="4"/>
      <c r="E502" s="4"/>
      <c r="F502" s="4"/>
    </row>
    <row r="503" spans="2:6" ht="20.100000000000001" customHeight="1" x14ac:dyDescent="0.2">
      <c r="B503" s="29"/>
      <c r="C503" s="4"/>
      <c r="D503" s="4"/>
      <c r="E503" s="4"/>
      <c r="F503" s="4"/>
    </row>
    <row r="504" spans="2:6" ht="20.100000000000001" customHeight="1" x14ac:dyDescent="0.2">
      <c r="B504" s="29"/>
      <c r="C504" s="4"/>
      <c r="D504" s="4"/>
      <c r="E504" s="4"/>
      <c r="F504" s="4"/>
    </row>
    <row r="505" spans="2:6" ht="20.100000000000001" customHeight="1" x14ac:dyDescent="0.2">
      <c r="B505" s="29"/>
      <c r="C505" s="4"/>
      <c r="D505" s="4"/>
      <c r="E505" s="4"/>
      <c r="F505" s="4"/>
    </row>
    <row r="506" spans="2:6" ht="20.100000000000001" customHeight="1" x14ac:dyDescent="0.2">
      <c r="B506" s="29"/>
      <c r="C506" s="4"/>
      <c r="D506" s="4"/>
      <c r="E506" s="4"/>
      <c r="F506" s="4"/>
    </row>
    <row r="507" spans="2:6" ht="20.100000000000001" customHeight="1" x14ac:dyDescent="0.2">
      <c r="B507" s="29"/>
      <c r="C507" s="4"/>
      <c r="D507" s="4"/>
      <c r="E507" s="4"/>
      <c r="F507" s="4"/>
    </row>
    <row r="508" spans="2:6" ht="20.100000000000001" customHeight="1" x14ac:dyDescent="0.2">
      <c r="B508" s="29"/>
      <c r="C508" s="4"/>
      <c r="D508" s="4"/>
      <c r="E508" s="4"/>
      <c r="F508" s="4"/>
    </row>
    <row r="509" spans="2:6" ht="20.100000000000001" customHeight="1" x14ac:dyDescent="0.2">
      <c r="B509" s="29"/>
      <c r="C509" s="4"/>
      <c r="D509" s="4"/>
      <c r="E509" s="4"/>
      <c r="F509" s="4"/>
    </row>
    <row r="510" spans="2:6" ht="20.100000000000001" customHeight="1" x14ac:dyDescent="0.2">
      <c r="B510" s="29"/>
      <c r="C510" s="4"/>
      <c r="D510" s="4"/>
      <c r="E510" s="4"/>
      <c r="F510" s="4"/>
    </row>
    <row r="511" spans="2:6" ht="20.100000000000001" customHeight="1" x14ac:dyDescent="0.2">
      <c r="B511" s="29"/>
      <c r="C511" s="4"/>
      <c r="D511" s="4"/>
      <c r="E511" s="4"/>
      <c r="F511" s="4"/>
    </row>
    <row r="512" spans="2:6" ht="20.100000000000001" customHeight="1" x14ac:dyDescent="0.2">
      <c r="B512" s="29"/>
      <c r="C512" s="4"/>
      <c r="D512" s="4"/>
      <c r="E512" s="4"/>
      <c r="F512" s="4"/>
    </row>
    <row r="513" spans="2:6" ht="20.100000000000001" customHeight="1" x14ac:dyDescent="0.2">
      <c r="B513" s="29"/>
      <c r="C513" s="4"/>
      <c r="D513" s="4"/>
      <c r="E513" s="4"/>
      <c r="F513" s="4"/>
    </row>
    <row r="514" spans="2:6" ht="20.100000000000001" customHeight="1" x14ac:dyDescent="0.2">
      <c r="B514" s="29"/>
      <c r="C514" s="4"/>
      <c r="D514" s="4"/>
      <c r="E514" s="4"/>
      <c r="F514" s="4"/>
    </row>
    <row r="515" spans="2:6" ht="20.100000000000001" customHeight="1" x14ac:dyDescent="0.2">
      <c r="B515" s="29"/>
      <c r="C515" s="4"/>
      <c r="D515" s="4"/>
      <c r="E515" s="4"/>
      <c r="F515" s="4"/>
    </row>
    <row r="516" spans="2:6" ht="20.100000000000001" customHeight="1" x14ac:dyDescent="0.2">
      <c r="B516" s="29"/>
      <c r="C516" s="4"/>
      <c r="D516" s="4"/>
      <c r="E516" s="4"/>
      <c r="F516" s="4"/>
    </row>
    <row r="517" spans="2:6" ht="20.100000000000001" customHeight="1" x14ac:dyDescent="0.2">
      <c r="B517" s="29"/>
      <c r="C517" s="4"/>
      <c r="D517" s="4"/>
      <c r="E517" s="4"/>
      <c r="F517" s="4"/>
    </row>
    <row r="518" spans="2:6" ht="20.100000000000001" customHeight="1" x14ac:dyDescent="0.2">
      <c r="B518" s="29"/>
      <c r="C518" s="4"/>
      <c r="D518" s="4"/>
      <c r="E518" s="4"/>
      <c r="F518" s="4"/>
    </row>
    <row r="519" spans="2:6" ht="20.100000000000001" customHeight="1" x14ac:dyDescent="0.2">
      <c r="B519" s="29"/>
      <c r="C519" s="4"/>
      <c r="D519" s="4"/>
      <c r="E519" s="4"/>
      <c r="F519" s="4"/>
    </row>
    <row r="520" spans="2:6" ht="20.100000000000001" customHeight="1" x14ac:dyDescent="0.2">
      <c r="B520" s="29"/>
      <c r="C520" s="4"/>
      <c r="D520" s="4"/>
      <c r="E520" s="4"/>
      <c r="F520" s="4"/>
    </row>
    <row r="521" spans="2:6" ht="20.100000000000001" customHeight="1" x14ac:dyDescent="0.2">
      <c r="B521" s="29"/>
      <c r="C521" s="4"/>
      <c r="D521" s="4"/>
      <c r="E521" s="4"/>
      <c r="F521" s="4"/>
    </row>
    <row r="522" spans="2:6" ht="20.100000000000001" customHeight="1" x14ac:dyDescent="0.2">
      <c r="B522" s="29"/>
      <c r="C522" s="4"/>
      <c r="D522" s="4"/>
      <c r="E522" s="4"/>
      <c r="F522" s="4"/>
    </row>
    <row r="523" spans="2:6" ht="20.100000000000001" customHeight="1" x14ac:dyDescent="0.2">
      <c r="B523" s="29"/>
      <c r="C523" s="4"/>
      <c r="D523" s="4"/>
      <c r="E523" s="4"/>
      <c r="F523" s="4"/>
    </row>
    <row r="524" spans="2:6" ht="20.100000000000001" customHeight="1" x14ac:dyDescent="0.2">
      <c r="B524" s="29"/>
      <c r="C524" s="4"/>
      <c r="D524" s="4"/>
      <c r="E524" s="4"/>
      <c r="F524" s="4"/>
    </row>
    <row r="525" spans="2:6" ht="20.100000000000001" customHeight="1" x14ac:dyDescent="0.2">
      <c r="B525" s="29"/>
      <c r="C525" s="4"/>
      <c r="D525" s="4"/>
      <c r="E525" s="4"/>
      <c r="F525" s="4"/>
    </row>
    <row r="526" spans="2:6" ht="20.100000000000001" customHeight="1" x14ac:dyDescent="0.2">
      <c r="B526" s="29"/>
      <c r="C526" s="4"/>
      <c r="D526" s="4"/>
      <c r="E526" s="4"/>
      <c r="F526" s="4"/>
    </row>
    <row r="527" spans="2:6" ht="20.100000000000001" customHeight="1" x14ac:dyDescent="0.2">
      <c r="B527" s="29"/>
      <c r="C527" s="4"/>
      <c r="D527" s="4"/>
      <c r="E527" s="4"/>
      <c r="F527" s="4"/>
    </row>
    <row r="528" spans="2:6" ht="20.100000000000001" customHeight="1" x14ac:dyDescent="0.2">
      <c r="B528" s="29"/>
      <c r="C528" s="4"/>
      <c r="D528" s="4"/>
      <c r="E528" s="4"/>
      <c r="F528" s="4"/>
    </row>
    <row r="529" spans="2:6" ht="20.100000000000001" customHeight="1" x14ac:dyDescent="0.2">
      <c r="B529" s="29"/>
      <c r="C529" s="4"/>
      <c r="D529" s="4"/>
      <c r="E529" s="4"/>
      <c r="F529" s="4"/>
    </row>
    <row r="530" spans="2:6" ht="20.100000000000001" customHeight="1" x14ac:dyDescent="0.2">
      <c r="B530" s="29"/>
      <c r="C530" s="4"/>
      <c r="D530" s="4"/>
      <c r="E530" s="4"/>
      <c r="F530" s="4"/>
    </row>
    <row r="531" spans="2:6" ht="20.100000000000001" customHeight="1" x14ac:dyDescent="0.2">
      <c r="B531" s="29"/>
      <c r="C531" s="4"/>
      <c r="D531" s="4"/>
      <c r="E531" s="4"/>
      <c r="F531" s="4"/>
    </row>
    <row r="532" spans="2:6" ht="20.100000000000001" customHeight="1" x14ac:dyDescent="0.2">
      <c r="B532" s="29"/>
      <c r="C532" s="4"/>
      <c r="D532" s="4"/>
      <c r="E532" s="4"/>
      <c r="F532" s="4"/>
    </row>
    <row r="533" spans="2:6" ht="20.100000000000001" customHeight="1" x14ac:dyDescent="0.2">
      <c r="B533" s="29"/>
      <c r="C533" s="4"/>
      <c r="D533" s="4"/>
      <c r="E533" s="4"/>
      <c r="F533" s="4"/>
    </row>
    <row r="534" spans="2:6" ht="20.100000000000001" customHeight="1" x14ac:dyDescent="0.2">
      <c r="B534" s="29"/>
      <c r="C534" s="4"/>
      <c r="D534" s="4"/>
      <c r="E534" s="4"/>
      <c r="F534" s="4"/>
    </row>
    <row r="535" spans="2:6" ht="20.100000000000001" customHeight="1" x14ac:dyDescent="0.2">
      <c r="B535" s="29"/>
      <c r="C535" s="4"/>
      <c r="D535" s="4"/>
      <c r="E535" s="4"/>
      <c r="F535" s="4"/>
    </row>
    <row r="536" spans="2:6" ht="20.100000000000001" customHeight="1" x14ac:dyDescent="0.2">
      <c r="B536" s="29"/>
      <c r="C536" s="4"/>
      <c r="D536" s="4"/>
      <c r="E536" s="4"/>
      <c r="F536" s="4"/>
    </row>
    <row r="537" spans="2:6" ht="20.100000000000001" customHeight="1" x14ac:dyDescent="0.2">
      <c r="B537" s="29"/>
      <c r="C537" s="4"/>
      <c r="D537" s="4"/>
      <c r="E537" s="4"/>
      <c r="F537" s="4"/>
    </row>
    <row r="538" spans="2:6" ht="20.100000000000001" customHeight="1" x14ac:dyDescent="0.2">
      <c r="B538" s="29"/>
      <c r="C538" s="4"/>
      <c r="D538" s="4"/>
      <c r="E538" s="4"/>
      <c r="F538" s="4"/>
    </row>
    <row r="539" spans="2:6" ht="20.100000000000001" customHeight="1" x14ac:dyDescent="0.2">
      <c r="B539" s="29"/>
      <c r="C539" s="4"/>
      <c r="D539" s="4"/>
      <c r="E539" s="4"/>
      <c r="F539" s="4"/>
    </row>
    <row r="540" spans="2:6" ht="20.100000000000001" customHeight="1" x14ac:dyDescent="0.2">
      <c r="B540" s="29"/>
      <c r="C540" s="4"/>
      <c r="D540" s="4"/>
      <c r="E540" s="4"/>
      <c r="F540" s="4"/>
    </row>
    <row r="541" spans="2:6" ht="20.100000000000001" customHeight="1" x14ac:dyDescent="0.2">
      <c r="B541" s="29"/>
      <c r="C541" s="4"/>
      <c r="D541" s="4"/>
      <c r="E541" s="4"/>
      <c r="F541" s="4"/>
    </row>
    <row r="542" spans="2:6" ht="20.100000000000001" customHeight="1" x14ac:dyDescent="0.2">
      <c r="B542" s="29"/>
      <c r="C542" s="4"/>
      <c r="D542" s="4"/>
      <c r="E542" s="4"/>
      <c r="F542" s="4"/>
    </row>
    <row r="543" spans="2:6" ht="20.100000000000001" customHeight="1" x14ac:dyDescent="0.2">
      <c r="B543" s="29"/>
      <c r="C543" s="4"/>
      <c r="D543" s="4"/>
      <c r="E543" s="4"/>
      <c r="F543" s="4"/>
    </row>
    <row r="544" spans="2:6" ht="20.100000000000001" customHeight="1" x14ac:dyDescent="0.2">
      <c r="B544" s="29"/>
      <c r="C544" s="4"/>
      <c r="D544" s="4"/>
      <c r="E544" s="4"/>
      <c r="F544" s="4"/>
    </row>
    <row r="545" spans="2:6" ht="20.100000000000001" customHeight="1" x14ac:dyDescent="0.2">
      <c r="B545" s="29"/>
      <c r="C545" s="4"/>
      <c r="D545" s="4"/>
      <c r="E545" s="4"/>
      <c r="F545" s="4"/>
    </row>
    <row r="546" spans="2:6" ht="20.100000000000001" customHeight="1" x14ac:dyDescent="0.2">
      <c r="B546" s="29"/>
      <c r="C546" s="4"/>
      <c r="D546" s="4"/>
      <c r="E546" s="4"/>
      <c r="F546" s="4"/>
    </row>
    <row r="547" spans="2:6" ht="20.100000000000001" customHeight="1" x14ac:dyDescent="0.2">
      <c r="B547" s="29"/>
      <c r="C547" s="4"/>
      <c r="D547" s="4"/>
      <c r="E547" s="4"/>
      <c r="F547" s="4"/>
    </row>
    <row r="548" spans="2:6" ht="20.100000000000001" customHeight="1" x14ac:dyDescent="0.2">
      <c r="B548" s="29"/>
      <c r="C548" s="4"/>
      <c r="D548" s="4"/>
      <c r="E548" s="4"/>
      <c r="F548" s="4"/>
    </row>
    <row r="549" spans="2:6" ht="20.100000000000001" customHeight="1" x14ac:dyDescent="0.2">
      <c r="B549" s="29"/>
      <c r="C549" s="4"/>
      <c r="D549" s="4"/>
      <c r="E549" s="4"/>
      <c r="F549" s="4"/>
    </row>
    <row r="550" spans="2:6" ht="20.100000000000001" customHeight="1" x14ac:dyDescent="0.2">
      <c r="B550" s="29"/>
      <c r="C550" s="4"/>
      <c r="D550" s="4"/>
      <c r="E550" s="4"/>
      <c r="F550" s="4"/>
    </row>
    <row r="551" spans="2:6" ht="20.100000000000001" customHeight="1" x14ac:dyDescent="0.2">
      <c r="B551" s="29"/>
      <c r="C551" s="4"/>
      <c r="D551" s="4"/>
      <c r="E551" s="4"/>
      <c r="F551" s="4"/>
    </row>
    <row r="552" spans="2:6" ht="20.100000000000001" customHeight="1" x14ac:dyDescent="0.2">
      <c r="B552" s="29"/>
      <c r="C552" s="4"/>
      <c r="D552" s="4"/>
      <c r="E552" s="4"/>
      <c r="F552" s="4"/>
    </row>
    <row r="553" spans="2:6" ht="20.100000000000001" customHeight="1" x14ac:dyDescent="0.2">
      <c r="B553" s="29"/>
      <c r="C553" s="4"/>
      <c r="D553" s="4"/>
      <c r="E553" s="4"/>
      <c r="F553" s="4"/>
    </row>
    <row r="554" spans="2:6" ht="20.100000000000001" customHeight="1" x14ac:dyDescent="0.2">
      <c r="B554" s="29"/>
      <c r="C554" s="4"/>
      <c r="D554" s="4"/>
      <c r="E554" s="4"/>
      <c r="F554" s="4"/>
    </row>
    <row r="555" spans="2:6" ht="20.100000000000001" customHeight="1" x14ac:dyDescent="0.2">
      <c r="B555" s="29"/>
      <c r="C555" s="4"/>
      <c r="D555" s="4"/>
      <c r="E555" s="4"/>
      <c r="F555" s="4"/>
    </row>
    <row r="556" spans="2:6" ht="20.100000000000001" customHeight="1" x14ac:dyDescent="0.2">
      <c r="B556" s="29"/>
      <c r="C556" s="4"/>
      <c r="D556" s="4"/>
      <c r="E556" s="4"/>
      <c r="F556" s="4"/>
    </row>
    <row r="557" spans="2:6" ht="20.100000000000001" customHeight="1" x14ac:dyDescent="0.2">
      <c r="B557" s="29"/>
      <c r="C557" s="4"/>
      <c r="D557" s="4"/>
      <c r="E557" s="4"/>
      <c r="F557" s="4"/>
    </row>
    <row r="558" spans="2:6" ht="20.100000000000001" customHeight="1" x14ac:dyDescent="0.2">
      <c r="B558" s="29"/>
      <c r="C558" s="4"/>
      <c r="D558" s="4"/>
      <c r="E558" s="4"/>
      <c r="F558" s="4"/>
    </row>
    <row r="559" spans="2:6" ht="20.100000000000001" customHeight="1" x14ac:dyDescent="0.2">
      <c r="B559" s="29"/>
      <c r="C559" s="4"/>
      <c r="D559" s="4"/>
      <c r="E559" s="4"/>
      <c r="F559" s="4"/>
    </row>
    <row r="560" spans="2:6" ht="20.100000000000001" customHeight="1" x14ac:dyDescent="0.2">
      <c r="B560" s="29"/>
      <c r="C560" s="4"/>
      <c r="D560" s="4"/>
      <c r="E560" s="4"/>
      <c r="F560" s="4"/>
    </row>
    <row r="561" spans="2:6" ht="20.100000000000001" customHeight="1" x14ac:dyDescent="0.2">
      <c r="B561" s="29"/>
      <c r="C561" s="4"/>
      <c r="D561" s="4"/>
      <c r="E561" s="4"/>
      <c r="F561" s="4"/>
    </row>
    <row r="562" spans="2:6" ht="20.100000000000001" customHeight="1" x14ac:dyDescent="0.2">
      <c r="B562" s="29"/>
      <c r="C562" s="4"/>
      <c r="D562" s="4"/>
      <c r="E562" s="4"/>
      <c r="F562" s="4"/>
    </row>
    <row r="563" spans="2:6" ht="20.100000000000001" customHeight="1" x14ac:dyDescent="0.2">
      <c r="B563" s="29"/>
      <c r="C563" s="4"/>
      <c r="D563" s="4"/>
      <c r="E563" s="4"/>
      <c r="F563" s="4"/>
    </row>
    <row r="564" spans="2:6" ht="20.100000000000001" customHeight="1" x14ac:dyDescent="0.2">
      <c r="B564" s="29"/>
      <c r="C564" s="4"/>
      <c r="D564" s="4"/>
      <c r="E564" s="4"/>
      <c r="F564" s="4"/>
    </row>
    <row r="565" spans="2:6" ht="20.100000000000001" customHeight="1" x14ac:dyDescent="0.2">
      <c r="B565" s="29"/>
      <c r="C565" s="4"/>
      <c r="D565" s="4"/>
      <c r="E565" s="4"/>
      <c r="F565" s="4"/>
    </row>
    <row r="566" spans="2:6" ht="20.100000000000001" customHeight="1" x14ac:dyDescent="0.2">
      <c r="B566" s="29"/>
      <c r="C566" s="4"/>
      <c r="D566" s="4"/>
      <c r="E566" s="4"/>
      <c r="F566" s="4"/>
    </row>
    <row r="567" spans="2:6" ht="20.100000000000001" customHeight="1" x14ac:dyDescent="0.2">
      <c r="B567" s="29"/>
      <c r="C567" s="4"/>
      <c r="D567" s="4"/>
      <c r="E567" s="4"/>
      <c r="F567" s="4"/>
    </row>
    <row r="568" spans="2:6" ht="20.100000000000001" customHeight="1" x14ac:dyDescent="0.2">
      <c r="B568" s="29"/>
      <c r="C568" s="4"/>
      <c r="D568" s="4"/>
      <c r="E568" s="4"/>
      <c r="F568" s="4"/>
    </row>
    <row r="569" spans="2:6" ht="20.100000000000001" customHeight="1" x14ac:dyDescent="0.2">
      <c r="B569" s="29"/>
      <c r="C569" s="4"/>
      <c r="D569" s="4"/>
      <c r="E569" s="4"/>
      <c r="F569" s="4"/>
    </row>
    <row r="570" spans="2:6" ht="20.100000000000001" customHeight="1" x14ac:dyDescent="0.2">
      <c r="B570" s="29"/>
      <c r="C570" s="4"/>
      <c r="D570" s="4"/>
      <c r="E570" s="4"/>
      <c r="F570" s="4"/>
    </row>
    <row r="571" spans="2:6" ht="20.100000000000001" customHeight="1" x14ac:dyDescent="0.2">
      <c r="B571" s="29"/>
      <c r="C571" s="4"/>
      <c r="D571" s="4"/>
      <c r="E571" s="4"/>
      <c r="F571" s="4"/>
    </row>
    <row r="572" spans="2:6" ht="20.100000000000001" customHeight="1" x14ac:dyDescent="0.2">
      <c r="B572" s="29"/>
      <c r="C572" s="4"/>
      <c r="D572" s="4"/>
      <c r="E572" s="4"/>
      <c r="F572" s="4"/>
    </row>
    <row r="573" spans="2:6" ht="20.100000000000001" customHeight="1" x14ac:dyDescent="0.2">
      <c r="B573" s="29"/>
      <c r="C573" s="4"/>
      <c r="D573" s="4"/>
      <c r="E573" s="4"/>
      <c r="F573" s="4"/>
    </row>
    <row r="574" spans="2:6" ht="20.100000000000001" customHeight="1" x14ac:dyDescent="0.2">
      <c r="B574" s="29"/>
      <c r="C574" s="4"/>
      <c r="D574" s="4"/>
      <c r="E574" s="4"/>
      <c r="F574" s="4"/>
    </row>
    <row r="575" spans="2:6" ht="20.100000000000001" customHeight="1" x14ac:dyDescent="0.2">
      <c r="B575" s="29"/>
      <c r="C575" s="4"/>
      <c r="D575" s="4"/>
      <c r="E575" s="4"/>
      <c r="F575" s="4"/>
    </row>
    <row r="576" spans="2:6" ht="20.100000000000001" customHeight="1" x14ac:dyDescent="0.2">
      <c r="B576" s="29"/>
      <c r="C576" s="4"/>
      <c r="D576" s="4"/>
      <c r="E576" s="4"/>
      <c r="F576" s="4"/>
    </row>
    <row r="577" spans="2:6" ht="20.100000000000001" customHeight="1" x14ac:dyDescent="0.2">
      <c r="B577" s="29"/>
      <c r="C577" s="4"/>
      <c r="D577" s="4"/>
      <c r="E577" s="4"/>
      <c r="F577" s="4"/>
    </row>
    <row r="578" spans="2:6" ht="20.100000000000001" customHeight="1" x14ac:dyDescent="0.2">
      <c r="B578" s="29"/>
      <c r="C578" s="4"/>
      <c r="D578" s="4"/>
      <c r="E578" s="4"/>
      <c r="F578" s="4"/>
    </row>
    <row r="579" spans="2:6" ht="20.100000000000001" customHeight="1" x14ac:dyDescent="0.2">
      <c r="B579" s="29"/>
      <c r="C579" s="4"/>
      <c r="D579" s="4"/>
      <c r="E579" s="4"/>
      <c r="F579" s="4"/>
    </row>
    <row r="580" spans="2:6" ht="20.100000000000001" customHeight="1" x14ac:dyDescent="0.2">
      <c r="B580" s="29"/>
      <c r="C580" s="4"/>
      <c r="D580" s="4"/>
      <c r="E580" s="4"/>
      <c r="F580" s="4"/>
    </row>
    <row r="581" spans="2:6" ht="20.100000000000001" customHeight="1" x14ac:dyDescent="0.2">
      <c r="B581" s="29"/>
      <c r="C581" s="4"/>
      <c r="D581" s="4"/>
      <c r="E581" s="4"/>
      <c r="F581" s="4"/>
    </row>
    <row r="582" spans="2:6" ht="20.100000000000001" customHeight="1" x14ac:dyDescent="0.2">
      <c r="B582" s="29"/>
      <c r="C582" s="4"/>
      <c r="D582" s="4"/>
      <c r="E582" s="4"/>
      <c r="F582" s="4"/>
    </row>
    <row r="583" spans="2:6" ht="20.100000000000001" customHeight="1" x14ac:dyDescent="0.2">
      <c r="B583" s="29"/>
      <c r="C583" s="4"/>
      <c r="D583" s="4"/>
      <c r="E583" s="4"/>
      <c r="F583" s="4"/>
    </row>
    <row r="584" spans="2:6" ht="20.100000000000001" customHeight="1" x14ac:dyDescent="0.2">
      <c r="B584" s="29"/>
      <c r="C584" s="4"/>
      <c r="D584" s="4"/>
      <c r="E584" s="4"/>
      <c r="F584" s="4"/>
    </row>
    <row r="585" spans="2:6" ht="20.100000000000001" customHeight="1" x14ac:dyDescent="0.2">
      <c r="B585" s="29"/>
      <c r="C585" s="4"/>
      <c r="D585" s="4"/>
      <c r="E585" s="4"/>
      <c r="F585" s="4"/>
    </row>
    <row r="586" spans="2:6" ht="20.100000000000001" customHeight="1" x14ac:dyDescent="0.2">
      <c r="B586" s="29"/>
      <c r="C586" s="4"/>
      <c r="D586" s="4"/>
      <c r="E586" s="4"/>
      <c r="F586" s="4"/>
    </row>
    <row r="587" spans="2:6" ht="20.100000000000001" customHeight="1" x14ac:dyDescent="0.2">
      <c r="B587" s="29"/>
      <c r="C587" s="4"/>
      <c r="D587" s="4"/>
      <c r="E587" s="4"/>
      <c r="F587" s="4"/>
    </row>
    <row r="588" spans="2:6" ht="20.100000000000001" customHeight="1" x14ac:dyDescent="0.2">
      <c r="B588" s="29"/>
      <c r="C588" s="4"/>
      <c r="D588" s="4"/>
      <c r="E588" s="4"/>
      <c r="F588" s="4"/>
    </row>
    <row r="589" spans="2:6" ht="20.100000000000001" customHeight="1" x14ac:dyDescent="0.2">
      <c r="B589" s="29"/>
      <c r="C589" s="4"/>
      <c r="D589" s="4"/>
      <c r="E589" s="4"/>
      <c r="F589" s="4"/>
    </row>
    <row r="590" spans="2:6" ht="20.100000000000001" customHeight="1" x14ac:dyDescent="0.2">
      <c r="B590" s="29"/>
      <c r="C590" s="4"/>
      <c r="D590" s="4"/>
      <c r="E590" s="4"/>
      <c r="F590" s="4"/>
    </row>
    <row r="591" spans="2:6" ht="20.100000000000001" customHeight="1" x14ac:dyDescent="0.2">
      <c r="B591" s="29"/>
      <c r="C591" s="4"/>
      <c r="D591" s="4"/>
      <c r="E591" s="4"/>
      <c r="F591" s="4"/>
    </row>
    <row r="592" spans="2:6" ht="20.100000000000001" customHeight="1" x14ac:dyDescent="0.2">
      <c r="B592" s="29"/>
      <c r="C592" s="4"/>
      <c r="D592" s="4"/>
      <c r="E592" s="4"/>
      <c r="F592" s="4"/>
    </row>
    <row r="593" spans="2:6" ht="20.100000000000001" customHeight="1" x14ac:dyDescent="0.2">
      <c r="B593" s="29"/>
      <c r="C593" s="4"/>
      <c r="D593" s="4"/>
      <c r="E593" s="4"/>
      <c r="F593" s="4"/>
    </row>
    <row r="594" spans="2:6" ht="20.100000000000001" customHeight="1" x14ac:dyDescent="0.2">
      <c r="B594" s="29"/>
      <c r="C594" s="4"/>
      <c r="D594" s="4"/>
      <c r="E594" s="4"/>
      <c r="F594" s="4"/>
    </row>
    <row r="595" spans="2:6" ht="20.100000000000001" customHeight="1" x14ac:dyDescent="0.2">
      <c r="B595" s="29"/>
      <c r="C595" s="4"/>
      <c r="D595" s="4"/>
      <c r="E595" s="4"/>
      <c r="F595" s="4"/>
    </row>
    <row r="596" spans="2:6" ht="20.100000000000001" customHeight="1" x14ac:dyDescent="0.2">
      <c r="B596" s="29"/>
      <c r="C596" s="4"/>
      <c r="D596" s="4"/>
      <c r="E596" s="4"/>
      <c r="F596" s="4"/>
    </row>
    <row r="597" spans="2:6" ht="20.100000000000001" customHeight="1" x14ac:dyDescent="0.2">
      <c r="B597" s="29"/>
      <c r="C597" s="4"/>
      <c r="D597" s="4"/>
      <c r="E597" s="4"/>
      <c r="F597" s="4"/>
    </row>
    <row r="598" spans="2:6" ht="20.100000000000001" customHeight="1" x14ac:dyDescent="0.2">
      <c r="B598" s="29"/>
      <c r="C598" s="4"/>
      <c r="D598" s="4"/>
      <c r="E598" s="4"/>
      <c r="F598" s="4"/>
    </row>
    <row r="599" spans="2:6" ht="20.100000000000001" customHeight="1" x14ac:dyDescent="0.2">
      <c r="B599" s="29"/>
      <c r="C599" s="4"/>
      <c r="D599" s="4"/>
      <c r="E599" s="4"/>
      <c r="F599" s="4"/>
    </row>
    <row r="600" spans="2:6" ht="20.100000000000001" customHeight="1" x14ac:dyDescent="0.2">
      <c r="B600" s="29"/>
      <c r="C600" s="4"/>
      <c r="D600" s="4"/>
      <c r="E600" s="4"/>
      <c r="F600" s="4"/>
    </row>
    <row r="601" spans="2:6" ht="20.100000000000001" customHeight="1" x14ac:dyDescent="0.2">
      <c r="B601" s="29"/>
      <c r="C601" s="4"/>
      <c r="D601" s="4"/>
      <c r="E601" s="4"/>
      <c r="F601" s="4"/>
    </row>
    <row r="602" spans="2:6" ht="20.100000000000001" customHeight="1" x14ac:dyDescent="0.2">
      <c r="B602" s="29"/>
      <c r="C602" s="4"/>
      <c r="D602" s="4"/>
      <c r="E602" s="4"/>
      <c r="F602" s="4"/>
    </row>
    <row r="603" spans="2:6" ht="20.100000000000001" customHeight="1" x14ac:dyDescent="0.2">
      <c r="B603" s="29"/>
      <c r="C603" s="4"/>
      <c r="D603" s="4"/>
      <c r="E603" s="4"/>
      <c r="F603" s="4"/>
    </row>
    <row r="604" spans="2:6" ht="20.100000000000001" customHeight="1" x14ac:dyDescent="0.2">
      <c r="B604" s="29"/>
      <c r="C604" s="4"/>
      <c r="D604" s="4"/>
      <c r="E604" s="4"/>
      <c r="F604" s="4"/>
    </row>
  </sheetData>
  <autoFilter ref="B4:F10"/>
  <dataValidations count="2">
    <dataValidation type="list" allowBlank="1" showInputMessage="1" showErrorMessage="1" sqref="C5:C254">
      <formula1>ControlShovels</formula1>
    </dataValidation>
    <dataValidation type="date" operator="greaterThan" allowBlank="1" showInputMessage="1" showErrorMessage="1" errorTitle="Date entry format" error="Please enter date using format yyyy/mm/dd. So, for January 15, 2015, enter 2015/01/15. Thanks." sqref="B5:B604">
      <formula1>39814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604"/>
  <sheetViews>
    <sheetView showGridLines="0" zoomScaleNormal="100" workbookViewId="0">
      <pane ySplit="4" topLeftCell="A5" activePane="bottomLeft" state="frozen"/>
      <selection pane="bottomLeft" activeCell="C6" sqref="C6"/>
    </sheetView>
  </sheetViews>
  <sheetFormatPr defaultRowHeight="20.100000000000001" customHeight="1" x14ac:dyDescent="0.2"/>
  <cols>
    <col min="1" max="1" width="6.42578125" style="1" customWidth="1"/>
    <col min="2" max="3" width="13.7109375" style="2" customWidth="1"/>
    <col min="4" max="8" width="13.7109375" style="6" customWidth="1"/>
    <col min="9" max="10" width="13.7109375" style="5" customWidth="1"/>
    <col min="11" max="16384" width="9.140625" style="1"/>
  </cols>
  <sheetData>
    <row r="1" spans="2:11" ht="29.25" customHeight="1" x14ac:dyDescent="0.2">
      <c r="E1" s="158"/>
      <c r="F1" s="159"/>
      <c r="G1" s="160"/>
      <c r="H1" s="160"/>
      <c r="I1" s="160"/>
      <c r="J1" s="161"/>
      <c r="K1" s="161"/>
    </row>
    <row r="2" spans="2:11" ht="29.25" customHeight="1" thickBot="1" x14ac:dyDescent="0.25">
      <c r="B2" s="70" t="s">
        <v>35</v>
      </c>
      <c r="C2" s="66"/>
      <c r="D2" s="71"/>
      <c r="E2" s="71"/>
      <c r="F2" s="71"/>
      <c r="G2" s="71"/>
      <c r="H2" s="71"/>
      <c r="I2" s="72"/>
      <c r="J2" s="72"/>
    </row>
    <row r="3" spans="2:11" ht="6" customHeight="1" x14ac:dyDescent="0.2">
      <c r="E3" s="45"/>
      <c r="F3" s="45"/>
      <c r="G3" s="45"/>
      <c r="H3" s="45"/>
      <c r="I3" s="46"/>
      <c r="J3" s="46"/>
    </row>
    <row r="4" spans="2:11" s="38" customFormat="1" ht="66" customHeight="1" x14ac:dyDescent="0.2">
      <c r="B4" s="76" t="s">
        <v>0</v>
      </c>
      <c r="C4" s="76" t="s">
        <v>9</v>
      </c>
      <c r="D4" s="77" t="s">
        <v>21</v>
      </c>
      <c r="E4" s="77" t="s">
        <v>22</v>
      </c>
      <c r="F4" s="77" t="s">
        <v>23</v>
      </c>
      <c r="G4" s="77" t="s">
        <v>24</v>
      </c>
      <c r="H4" s="77" t="s">
        <v>25</v>
      </c>
      <c r="I4" s="78" t="s">
        <v>26</v>
      </c>
      <c r="J4" s="79" t="s">
        <v>28</v>
      </c>
    </row>
    <row r="5" spans="2:11" ht="20.100000000000001" customHeight="1" x14ac:dyDescent="0.2">
      <c r="B5" s="28">
        <v>42041</v>
      </c>
      <c r="C5" s="27" t="s">
        <v>12</v>
      </c>
      <c r="D5" s="212">
        <v>81.5</v>
      </c>
      <c r="E5" s="213"/>
      <c r="F5" s="213"/>
      <c r="G5" s="213"/>
      <c r="H5" s="214"/>
      <c r="I5" s="32">
        <f t="shared" ref="I5:I68" si="0">IFERROR(AVERAGE(INDEX($D:$H,ROW(),)),"")</f>
        <v>81.5</v>
      </c>
      <c r="J5" s="31">
        <f t="shared" ref="J5:J10" si="1">IF(ISBLANK(INDEX(D:H,ROW(),1)),"",MIN(INDEX($D:$H,ROW(),)))</f>
        <v>81.5</v>
      </c>
    </row>
    <row r="6" spans="2:11" ht="20.100000000000001" customHeight="1" x14ac:dyDescent="0.2">
      <c r="B6" s="29"/>
      <c r="C6" s="4"/>
      <c r="D6" s="212"/>
      <c r="E6" s="213"/>
      <c r="F6" s="213"/>
      <c r="G6" s="213"/>
      <c r="H6" s="214"/>
      <c r="I6" s="32" t="str">
        <f t="shared" si="0"/>
        <v/>
      </c>
      <c r="J6" s="32" t="str">
        <f t="shared" si="1"/>
        <v/>
      </c>
    </row>
    <row r="7" spans="2:11" ht="20.100000000000001" customHeight="1" x14ac:dyDescent="0.2">
      <c r="B7" s="29"/>
      <c r="C7" s="4"/>
      <c r="D7" s="212"/>
      <c r="E7" s="213"/>
      <c r="F7" s="213"/>
      <c r="G7" s="213"/>
      <c r="H7" s="214"/>
      <c r="I7" s="32" t="str">
        <f t="shared" si="0"/>
        <v/>
      </c>
      <c r="J7" s="32" t="str">
        <f t="shared" si="1"/>
        <v/>
      </c>
    </row>
    <row r="8" spans="2:11" ht="20.100000000000001" customHeight="1" x14ac:dyDescent="0.2">
      <c r="B8" s="29"/>
      <c r="C8" s="4"/>
      <c r="D8" s="212"/>
      <c r="E8" s="213"/>
      <c r="F8" s="213"/>
      <c r="G8" s="213"/>
      <c r="H8" s="214"/>
      <c r="I8" s="32" t="str">
        <f t="shared" si="0"/>
        <v/>
      </c>
      <c r="J8" s="32" t="str">
        <f t="shared" si="1"/>
        <v/>
      </c>
    </row>
    <row r="9" spans="2:11" ht="20.100000000000001" customHeight="1" x14ac:dyDescent="0.2">
      <c r="B9" s="29"/>
      <c r="C9" s="4"/>
      <c r="D9" s="212"/>
      <c r="E9" s="213"/>
      <c r="F9" s="213"/>
      <c r="G9" s="213"/>
      <c r="H9" s="214"/>
      <c r="I9" s="32" t="str">
        <f t="shared" si="0"/>
        <v/>
      </c>
      <c r="J9" s="32" t="str">
        <f t="shared" si="1"/>
        <v/>
      </c>
    </row>
    <row r="10" spans="2:11" ht="20.100000000000001" customHeight="1" x14ac:dyDescent="0.2">
      <c r="B10" s="29"/>
      <c r="C10" s="4"/>
      <c r="D10" s="212"/>
      <c r="E10" s="213"/>
      <c r="F10" s="213"/>
      <c r="G10" s="213"/>
      <c r="H10" s="214"/>
      <c r="I10" s="32" t="str">
        <f t="shared" si="0"/>
        <v/>
      </c>
      <c r="J10" s="32" t="str">
        <f t="shared" si="1"/>
        <v/>
      </c>
    </row>
    <row r="11" spans="2:11" ht="20.100000000000001" customHeight="1" x14ac:dyDescent="0.2">
      <c r="B11" s="29"/>
      <c r="C11" s="4"/>
      <c r="D11" s="212"/>
      <c r="E11" s="213"/>
      <c r="F11" s="213"/>
      <c r="G11" s="213"/>
      <c r="H11" s="214"/>
      <c r="I11" s="32" t="str">
        <f t="shared" si="0"/>
        <v/>
      </c>
      <c r="J11" s="32" t="str">
        <f t="shared" ref="J11:J74" si="2">IF(ISBLANK(INDEX(D:H,ROW(),1)),"",MIN(INDEX($D:$H,ROW(),)))</f>
        <v/>
      </c>
    </row>
    <row r="12" spans="2:11" ht="20.100000000000001" customHeight="1" x14ac:dyDescent="0.2">
      <c r="B12" s="29"/>
      <c r="C12" s="4"/>
      <c r="D12" s="212"/>
      <c r="E12" s="213"/>
      <c r="F12" s="213"/>
      <c r="G12" s="213"/>
      <c r="H12" s="214"/>
      <c r="I12" s="32" t="str">
        <f t="shared" si="0"/>
        <v/>
      </c>
      <c r="J12" s="32" t="str">
        <f t="shared" si="2"/>
        <v/>
      </c>
    </row>
    <row r="13" spans="2:11" ht="20.100000000000001" customHeight="1" x14ac:dyDescent="0.2">
      <c r="B13" s="29"/>
      <c r="C13" s="4"/>
      <c r="D13" s="212"/>
      <c r="E13" s="213"/>
      <c r="F13" s="213"/>
      <c r="G13" s="213"/>
      <c r="H13" s="214"/>
      <c r="I13" s="32" t="str">
        <f t="shared" si="0"/>
        <v/>
      </c>
      <c r="J13" s="32" t="str">
        <f t="shared" si="2"/>
        <v/>
      </c>
    </row>
    <row r="14" spans="2:11" ht="20.100000000000001" customHeight="1" x14ac:dyDescent="0.2">
      <c r="B14" s="29"/>
      <c r="C14" s="4"/>
      <c r="D14" s="212"/>
      <c r="E14" s="213"/>
      <c r="F14" s="213"/>
      <c r="G14" s="213"/>
      <c r="H14" s="214"/>
      <c r="I14" s="32" t="str">
        <f t="shared" si="0"/>
        <v/>
      </c>
      <c r="J14" s="32" t="str">
        <f t="shared" si="2"/>
        <v/>
      </c>
    </row>
    <row r="15" spans="2:11" ht="20.100000000000001" customHeight="1" x14ac:dyDescent="0.2">
      <c r="B15" s="29"/>
      <c r="C15" s="4"/>
      <c r="D15" s="212"/>
      <c r="E15" s="213"/>
      <c r="F15" s="213"/>
      <c r="G15" s="213"/>
      <c r="H15" s="214"/>
      <c r="I15" s="32" t="str">
        <f t="shared" si="0"/>
        <v/>
      </c>
      <c r="J15" s="32" t="str">
        <f t="shared" si="2"/>
        <v/>
      </c>
    </row>
    <row r="16" spans="2:11" ht="20.100000000000001" customHeight="1" x14ac:dyDescent="0.2">
      <c r="B16" s="29"/>
      <c r="C16" s="4"/>
      <c r="D16" s="212"/>
      <c r="E16" s="213"/>
      <c r="F16" s="213"/>
      <c r="G16" s="213"/>
      <c r="H16" s="214"/>
      <c r="I16" s="32" t="str">
        <f t="shared" si="0"/>
        <v/>
      </c>
      <c r="J16" s="32" t="str">
        <f t="shared" si="2"/>
        <v/>
      </c>
    </row>
    <row r="17" spans="2:10" ht="20.100000000000001" customHeight="1" x14ac:dyDescent="0.2">
      <c r="B17" s="29"/>
      <c r="C17" s="4"/>
      <c r="D17" s="212"/>
      <c r="E17" s="213"/>
      <c r="F17" s="213"/>
      <c r="G17" s="213"/>
      <c r="H17" s="214"/>
      <c r="I17" s="32" t="str">
        <f t="shared" si="0"/>
        <v/>
      </c>
      <c r="J17" s="32" t="str">
        <f t="shared" si="2"/>
        <v/>
      </c>
    </row>
    <row r="18" spans="2:10" ht="20.100000000000001" customHeight="1" x14ac:dyDescent="0.2">
      <c r="B18" s="29"/>
      <c r="C18" s="4"/>
      <c r="D18" s="212"/>
      <c r="E18" s="213"/>
      <c r="F18" s="213"/>
      <c r="G18" s="213"/>
      <c r="H18" s="214"/>
      <c r="I18" s="32" t="str">
        <f t="shared" si="0"/>
        <v/>
      </c>
      <c r="J18" s="32" t="str">
        <f t="shared" si="2"/>
        <v/>
      </c>
    </row>
    <row r="19" spans="2:10" ht="20.100000000000001" customHeight="1" x14ac:dyDescent="0.2">
      <c r="B19" s="29"/>
      <c r="C19" s="4"/>
      <c r="D19" s="212"/>
      <c r="E19" s="213"/>
      <c r="F19" s="213"/>
      <c r="G19" s="213"/>
      <c r="H19" s="214"/>
      <c r="I19" s="32" t="str">
        <f t="shared" si="0"/>
        <v/>
      </c>
      <c r="J19" s="32" t="str">
        <f t="shared" si="2"/>
        <v/>
      </c>
    </row>
    <row r="20" spans="2:10" ht="20.100000000000001" customHeight="1" x14ac:dyDescent="0.2">
      <c r="B20" s="29"/>
      <c r="C20" s="4"/>
      <c r="D20" s="212"/>
      <c r="E20" s="213"/>
      <c r="F20" s="213"/>
      <c r="G20" s="213"/>
      <c r="H20" s="214"/>
      <c r="I20" s="32" t="str">
        <f t="shared" si="0"/>
        <v/>
      </c>
      <c r="J20" s="32" t="str">
        <f t="shared" si="2"/>
        <v/>
      </c>
    </row>
    <row r="21" spans="2:10" ht="20.100000000000001" customHeight="1" x14ac:dyDescent="0.2">
      <c r="B21" s="29"/>
      <c r="C21" s="4"/>
      <c r="D21" s="212"/>
      <c r="E21" s="213"/>
      <c r="F21" s="213"/>
      <c r="G21" s="213"/>
      <c r="H21" s="214"/>
      <c r="I21" s="32" t="str">
        <f t="shared" si="0"/>
        <v/>
      </c>
      <c r="J21" s="32" t="str">
        <f t="shared" si="2"/>
        <v/>
      </c>
    </row>
    <row r="22" spans="2:10" ht="20.100000000000001" customHeight="1" x14ac:dyDescent="0.2">
      <c r="B22" s="29"/>
      <c r="C22" s="4"/>
      <c r="D22" s="212"/>
      <c r="E22" s="213"/>
      <c r="F22" s="213"/>
      <c r="G22" s="213"/>
      <c r="H22" s="214"/>
      <c r="I22" s="32" t="str">
        <f t="shared" si="0"/>
        <v/>
      </c>
      <c r="J22" s="32" t="str">
        <f t="shared" si="2"/>
        <v/>
      </c>
    </row>
    <row r="23" spans="2:10" ht="20.100000000000001" customHeight="1" x14ac:dyDescent="0.2">
      <c r="B23" s="29"/>
      <c r="C23" s="4"/>
      <c r="D23" s="212"/>
      <c r="E23" s="213"/>
      <c r="F23" s="213"/>
      <c r="G23" s="213"/>
      <c r="H23" s="214"/>
      <c r="I23" s="32" t="str">
        <f t="shared" si="0"/>
        <v/>
      </c>
      <c r="J23" s="32" t="str">
        <f t="shared" si="2"/>
        <v/>
      </c>
    </row>
    <row r="24" spans="2:10" ht="20.100000000000001" customHeight="1" x14ac:dyDescent="0.2">
      <c r="B24" s="29"/>
      <c r="C24" s="4"/>
      <c r="D24" s="212"/>
      <c r="E24" s="213"/>
      <c r="F24" s="213"/>
      <c r="G24" s="213"/>
      <c r="H24" s="214"/>
      <c r="I24" s="32" t="str">
        <f t="shared" si="0"/>
        <v/>
      </c>
      <c r="J24" s="32" t="str">
        <f t="shared" si="2"/>
        <v/>
      </c>
    </row>
    <row r="25" spans="2:10" ht="20.100000000000001" customHeight="1" x14ac:dyDescent="0.2">
      <c r="B25" s="29"/>
      <c r="C25" s="4"/>
      <c r="D25" s="212"/>
      <c r="E25" s="213"/>
      <c r="F25" s="213"/>
      <c r="G25" s="213"/>
      <c r="H25" s="214"/>
      <c r="I25" s="32" t="str">
        <f t="shared" si="0"/>
        <v/>
      </c>
      <c r="J25" s="32" t="str">
        <f t="shared" si="2"/>
        <v/>
      </c>
    </row>
    <row r="26" spans="2:10" ht="20.100000000000001" customHeight="1" x14ac:dyDescent="0.2">
      <c r="B26" s="29"/>
      <c r="C26" s="4"/>
      <c r="D26" s="212"/>
      <c r="E26" s="213"/>
      <c r="F26" s="213"/>
      <c r="G26" s="213"/>
      <c r="H26" s="214"/>
      <c r="I26" s="32" t="str">
        <f t="shared" si="0"/>
        <v/>
      </c>
      <c r="J26" s="32" t="str">
        <f t="shared" si="2"/>
        <v/>
      </c>
    </row>
    <row r="27" spans="2:10" ht="20.100000000000001" customHeight="1" x14ac:dyDescent="0.2">
      <c r="B27" s="29"/>
      <c r="C27" s="4"/>
      <c r="D27" s="212"/>
      <c r="E27" s="213"/>
      <c r="F27" s="213"/>
      <c r="G27" s="213"/>
      <c r="H27" s="214"/>
      <c r="I27" s="32" t="str">
        <f t="shared" si="0"/>
        <v/>
      </c>
      <c r="J27" s="32" t="str">
        <f t="shared" si="2"/>
        <v/>
      </c>
    </row>
    <row r="28" spans="2:10" ht="20.100000000000001" customHeight="1" x14ac:dyDescent="0.2">
      <c r="B28" s="29"/>
      <c r="C28" s="4"/>
      <c r="D28" s="212"/>
      <c r="E28" s="213"/>
      <c r="F28" s="213"/>
      <c r="G28" s="213"/>
      <c r="H28" s="214"/>
      <c r="I28" s="32" t="str">
        <f t="shared" si="0"/>
        <v/>
      </c>
      <c r="J28" s="32" t="str">
        <f t="shared" si="2"/>
        <v/>
      </c>
    </row>
    <row r="29" spans="2:10" ht="20.100000000000001" customHeight="1" x14ac:dyDescent="0.2">
      <c r="B29" s="29"/>
      <c r="C29" s="4"/>
      <c r="D29" s="212"/>
      <c r="E29" s="213"/>
      <c r="F29" s="213"/>
      <c r="G29" s="213"/>
      <c r="H29" s="214"/>
      <c r="I29" s="32" t="str">
        <f t="shared" si="0"/>
        <v/>
      </c>
      <c r="J29" s="32" t="str">
        <f t="shared" si="2"/>
        <v/>
      </c>
    </row>
    <row r="30" spans="2:10" ht="20.100000000000001" customHeight="1" x14ac:dyDescent="0.2">
      <c r="B30" s="29"/>
      <c r="C30" s="4"/>
      <c r="D30" s="212"/>
      <c r="E30" s="213"/>
      <c r="F30" s="213"/>
      <c r="G30" s="213"/>
      <c r="H30" s="214"/>
      <c r="I30" s="32" t="str">
        <f t="shared" si="0"/>
        <v/>
      </c>
      <c r="J30" s="32" t="str">
        <f t="shared" si="2"/>
        <v/>
      </c>
    </row>
    <row r="31" spans="2:10" ht="20.100000000000001" customHeight="1" x14ac:dyDescent="0.2">
      <c r="B31" s="29"/>
      <c r="C31" s="4"/>
      <c r="D31" s="212"/>
      <c r="E31" s="213"/>
      <c r="F31" s="213"/>
      <c r="G31" s="213"/>
      <c r="H31" s="214"/>
      <c r="I31" s="32" t="str">
        <f t="shared" si="0"/>
        <v/>
      </c>
      <c r="J31" s="32" t="str">
        <f t="shared" si="2"/>
        <v/>
      </c>
    </row>
    <row r="32" spans="2:10" ht="20.100000000000001" customHeight="1" x14ac:dyDescent="0.2">
      <c r="B32" s="29"/>
      <c r="C32" s="4"/>
      <c r="D32" s="212"/>
      <c r="E32" s="213"/>
      <c r="F32" s="213"/>
      <c r="G32" s="213"/>
      <c r="H32" s="214"/>
      <c r="I32" s="32" t="str">
        <f t="shared" si="0"/>
        <v/>
      </c>
      <c r="J32" s="32" t="str">
        <f t="shared" si="2"/>
        <v/>
      </c>
    </row>
    <row r="33" spans="2:10" ht="20.100000000000001" customHeight="1" x14ac:dyDescent="0.2">
      <c r="B33" s="29"/>
      <c r="C33" s="4"/>
      <c r="D33" s="212"/>
      <c r="E33" s="213"/>
      <c r="F33" s="213"/>
      <c r="G33" s="213"/>
      <c r="H33" s="214"/>
      <c r="I33" s="32" t="str">
        <f t="shared" si="0"/>
        <v/>
      </c>
      <c r="J33" s="32" t="str">
        <f t="shared" si="2"/>
        <v/>
      </c>
    </row>
    <row r="34" spans="2:10" ht="20.100000000000001" customHeight="1" x14ac:dyDescent="0.2">
      <c r="B34" s="29"/>
      <c r="C34" s="4"/>
      <c r="D34" s="212"/>
      <c r="E34" s="213"/>
      <c r="F34" s="213"/>
      <c r="G34" s="213"/>
      <c r="H34" s="214"/>
      <c r="I34" s="32" t="str">
        <f t="shared" si="0"/>
        <v/>
      </c>
      <c r="J34" s="32" t="str">
        <f t="shared" si="2"/>
        <v/>
      </c>
    </row>
    <row r="35" spans="2:10" ht="20.100000000000001" customHeight="1" x14ac:dyDescent="0.2">
      <c r="B35" s="29"/>
      <c r="C35" s="4"/>
      <c r="D35" s="212"/>
      <c r="E35" s="213"/>
      <c r="F35" s="213"/>
      <c r="G35" s="213"/>
      <c r="H35" s="214"/>
      <c r="I35" s="32" t="str">
        <f t="shared" si="0"/>
        <v/>
      </c>
      <c r="J35" s="32" t="str">
        <f t="shared" si="2"/>
        <v/>
      </c>
    </row>
    <row r="36" spans="2:10" ht="20.100000000000001" customHeight="1" x14ac:dyDescent="0.2">
      <c r="B36" s="29"/>
      <c r="C36" s="4"/>
      <c r="D36" s="212"/>
      <c r="E36" s="213"/>
      <c r="F36" s="213"/>
      <c r="G36" s="213"/>
      <c r="H36" s="214"/>
      <c r="I36" s="32" t="str">
        <f t="shared" si="0"/>
        <v/>
      </c>
      <c r="J36" s="32" t="str">
        <f t="shared" si="2"/>
        <v/>
      </c>
    </row>
    <row r="37" spans="2:10" ht="20.100000000000001" customHeight="1" x14ac:dyDescent="0.2">
      <c r="B37" s="29"/>
      <c r="C37" s="4"/>
      <c r="D37" s="212"/>
      <c r="E37" s="213"/>
      <c r="F37" s="213"/>
      <c r="G37" s="213"/>
      <c r="H37" s="214"/>
      <c r="I37" s="32" t="str">
        <f t="shared" si="0"/>
        <v/>
      </c>
      <c r="J37" s="32" t="str">
        <f t="shared" si="2"/>
        <v/>
      </c>
    </row>
    <row r="38" spans="2:10" ht="20.100000000000001" customHeight="1" x14ac:dyDescent="0.2">
      <c r="B38" s="29"/>
      <c r="C38" s="4"/>
      <c r="D38" s="212"/>
      <c r="E38" s="213"/>
      <c r="F38" s="213"/>
      <c r="G38" s="213"/>
      <c r="H38" s="214"/>
      <c r="I38" s="32" t="str">
        <f t="shared" si="0"/>
        <v/>
      </c>
      <c r="J38" s="32" t="str">
        <f t="shared" si="2"/>
        <v/>
      </c>
    </row>
    <row r="39" spans="2:10" ht="20.100000000000001" customHeight="1" x14ac:dyDescent="0.2">
      <c r="B39" s="29"/>
      <c r="C39" s="4"/>
      <c r="D39" s="212"/>
      <c r="E39" s="213"/>
      <c r="F39" s="213"/>
      <c r="G39" s="213"/>
      <c r="H39" s="214"/>
      <c r="I39" s="32" t="str">
        <f t="shared" si="0"/>
        <v/>
      </c>
      <c r="J39" s="32" t="str">
        <f t="shared" si="2"/>
        <v/>
      </c>
    </row>
    <row r="40" spans="2:10" ht="20.100000000000001" customHeight="1" x14ac:dyDescent="0.2">
      <c r="B40" s="29"/>
      <c r="C40" s="4"/>
      <c r="D40" s="212"/>
      <c r="E40" s="213"/>
      <c r="F40" s="213"/>
      <c r="G40" s="213"/>
      <c r="H40" s="214"/>
      <c r="I40" s="32" t="str">
        <f t="shared" si="0"/>
        <v/>
      </c>
      <c r="J40" s="32" t="str">
        <f t="shared" si="2"/>
        <v/>
      </c>
    </row>
    <row r="41" spans="2:10" ht="20.100000000000001" customHeight="1" x14ac:dyDescent="0.2">
      <c r="B41" s="29"/>
      <c r="C41" s="4"/>
      <c r="D41" s="212"/>
      <c r="E41" s="213"/>
      <c r="F41" s="213"/>
      <c r="G41" s="213"/>
      <c r="H41" s="214"/>
      <c r="I41" s="32" t="str">
        <f t="shared" si="0"/>
        <v/>
      </c>
      <c r="J41" s="32" t="str">
        <f t="shared" si="2"/>
        <v/>
      </c>
    </row>
    <row r="42" spans="2:10" ht="20.100000000000001" customHeight="1" x14ac:dyDescent="0.2">
      <c r="B42" s="29"/>
      <c r="C42" s="4"/>
      <c r="D42" s="212"/>
      <c r="E42" s="213"/>
      <c r="F42" s="213"/>
      <c r="G42" s="213"/>
      <c r="H42" s="214"/>
      <c r="I42" s="32" t="str">
        <f t="shared" si="0"/>
        <v/>
      </c>
      <c r="J42" s="32" t="str">
        <f t="shared" si="2"/>
        <v/>
      </c>
    </row>
    <row r="43" spans="2:10" ht="20.100000000000001" customHeight="1" x14ac:dyDescent="0.2">
      <c r="B43" s="29"/>
      <c r="C43" s="4"/>
      <c r="D43" s="212"/>
      <c r="E43" s="213"/>
      <c r="F43" s="213"/>
      <c r="G43" s="213"/>
      <c r="H43" s="214"/>
      <c r="I43" s="32" t="str">
        <f t="shared" si="0"/>
        <v/>
      </c>
      <c r="J43" s="32" t="str">
        <f t="shared" si="2"/>
        <v/>
      </c>
    </row>
    <row r="44" spans="2:10" ht="20.100000000000001" customHeight="1" x14ac:dyDescent="0.2">
      <c r="B44" s="29"/>
      <c r="C44" s="4"/>
      <c r="D44" s="212"/>
      <c r="E44" s="213"/>
      <c r="F44" s="213"/>
      <c r="G44" s="213"/>
      <c r="H44" s="214"/>
      <c r="I44" s="32" t="str">
        <f t="shared" si="0"/>
        <v/>
      </c>
      <c r="J44" s="32" t="str">
        <f t="shared" si="2"/>
        <v/>
      </c>
    </row>
    <row r="45" spans="2:10" ht="20.100000000000001" customHeight="1" x14ac:dyDescent="0.2">
      <c r="B45" s="29"/>
      <c r="C45" s="4"/>
      <c r="D45" s="212"/>
      <c r="E45" s="213"/>
      <c r="F45" s="213"/>
      <c r="G45" s="213"/>
      <c r="H45" s="214"/>
      <c r="I45" s="32" t="str">
        <f t="shared" si="0"/>
        <v/>
      </c>
      <c r="J45" s="32" t="str">
        <f t="shared" si="2"/>
        <v/>
      </c>
    </row>
    <row r="46" spans="2:10" ht="20.100000000000001" customHeight="1" x14ac:dyDescent="0.2">
      <c r="B46" s="29"/>
      <c r="C46" s="4"/>
      <c r="D46" s="212"/>
      <c r="E46" s="213"/>
      <c r="F46" s="213"/>
      <c r="G46" s="213"/>
      <c r="H46" s="214"/>
      <c r="I46" s="32" t="str">
        <f t="shared" si="0"/>
        <v/>
      </c>
      <c r="J46" s="32" t="str">
        <f t="shared" si="2"/>
        <v/>
      </c>
    </row>
    <row r="47" spans="2:10" ht="20.100000000000001" customHeight="1" x14ac:dyDescent="0.2">
      <c r="B47" s="29"/>
      <c r="C47" s="4"/>
      <c r="D47" s="212"/>
      <c r="E47" s="213"/>
      <c r="F47" s="213"/>
      <c r="G47" s="213"/>
      <c r="H47" s="214"/>
      <c r="I47" s="32" t="str">
        <f t="shared" si="0"/>
        <v/>
      </c>
      <c r="J47" s="32" t="str">
        <f t="shared" si="2"/>
        <v/>
      </c>
    </row>
    <row r="48" spans="2:10" ht="20.100000000000001" customHeight="1" x14ac:dyDescent="0.2">
      <c r="B48" s="29"/>
      <c r="C48" s="4"/>
      <c r="D48" s="212"/>
      <c r="E48" s="213"/>
      <c r="F48" s="213"/>
      <c r="G48" s="213"/>
      <c r="H48" s="214"/>
      <c r="I48" s="32" t="str">
        <f t="shared" si="0"/>
        <v/>
      </c>
      <c r="J48" s="32" t="str">
        <f t="shared" si="2"/>
        <v/>
      </c>
    </row>
    <row r="49" spans="2:10" ht="20.100000000000001" customHeight="1" x14ac:dyDescent="0.2">
      <c r="B49" s="29"/>
      <c r="C49" s="4"/>
      <c r="D49" s="212"/>
      <c r="E49" s="213"/>
      <c r="F49" s="213"/>
      <c r="G49" s="213"/>
      <c r="H49" s="214"/>
      <c r="I49" s="32" t="str">
        <f t="shared" si="0"/>
        <v/>
      </c>
      <c r="J49" s="32" t="str">
        <f t="shared" si="2"/>
        <v/>
      </c>
    </row>
    <row r="50" spans="2:10" ht="20.100000000000001" customHeight="1" x14ac:dyDescent="0.2">
      <c r="B50" s="29"/>
      <c r="C50" s="4"/>
      <c r="D50" s="212"/>
      <c r="E50" s="213"/>
      <c r="F50" s="213"/>
      <c r="G50" s="213"/>
      <c r="H50" s="214"/>
      <c r="I50" s="32" t="str">
        <f t="shared" si="0"/>
        <v/>
      </c>
      <c r="J50" s="32" t="str">
        <f t="shared" si="2"/>
        <v/>
      </c>
    </row>
    <row r="51" spans="2:10" ht="20.100000000000001" customHeight="1" x14ac:dyDescent="0.2">
      <c r="B51" s="29"/>
      <c r="C51" s="4"/>
      <c r="D51" s="212"/>
      <c r="E51" s="213"/>
      <c r="F51" s="213"/>
      <c r="G51" s="213"/>
      <c r="H51" s="214"/>
      <c r="I51" s="32" t="str">
        <f t="shared" si="0"/>
        <v/>
      </c>
      <c r="J51" s="32" t="str">
        <f t="shared" si="2"/>
        <v/>
      </c>
    </row>
    <row r="52" spans="2:10" ht="20.100000000000001" customHeight="1" x14ac:dyDescent="0.2">
      <c r="B52" s="29"/>
      <c r="C52" s="4"/>
      <c r="D52" s="212"/>
      <c r="E52" s="213"/>
      <c r="F52" s="213"/>
      <c r="G52" s="213"/>
      <c r="H52" s="214"/>
      <c r="I52" s="32" t="str">
        <f t="shared" si="0"/>
        <v/>
      </c>
      <c r="J52" s="32" t="str">
        <f t="shared" si="2"/>
        <v/>
      </c>
    </row>
    <row r="53" spans="2:10" ht="20.100000000000001" customHeight="1" x14ac:dyDescent="0.2">
      <c r="B53" s="29"/>
      <c r="C53" s="4"/>
      <c r="D53" s="212"/>
      <c r="E53" s="213"/>
      <c r="F53" s="213"/>
      <c r="G53" s="213"/>
      <c r="H53" s="214"/>
      <c r="I53" s="32" t="str">
        <f t="shared" si="0"/>
        <v/>
      </c>
      <c r="J53" s="32" t="str">
        <f t="shared" si="2"/>
        <v/>
      </c>
    </row>
    <row r="54" spans="2:10" ht="20.100000000000001" customHeight="1" x14ac:dyDescent="0.2">
      <c r="B54" s="29"/>
      <c r="C54" s="4"/>
      <c r="D54" s="212"/>
      <c r="E54" s="213"/>
      <c r="F54" s="213"/>
      <c r="G54" s="213"/>
      <c r="H54" s="214"/>
      <c r="I54" s="32" t="str">
        <f t="shared" si="0"/>
        <v/>
      </c>
      <c r="J54" s="32" t="str">
        <f t="shared" si="2"/>
        <v/>
      </c>
    </row>
    <row r="55" spans="2:10" ht="20.100000000000001" customHeight="1" x14ac:dyDescent="0.2">
      <c r="B55" s="29"/>
      <c r="C55" s="4"/>
      <c r="D55" s="212"/>
      <c r="E55" s="213"/>
      <c r="F55" s="213"/>
      <c r="G55" s="213"/>
      <c r="H55" s="214"/>
      <c r="I55" s="32" t="str">
        <f t="shared" si="0"/>
        <v/>
      </c>
      <c r="J55" s="32" t="str">
        <f t="shared" si="2"/>
        <v/>
      </c>
    </row>
    <row r="56" spans="2:10" ht="20.100000000000001" customHeight="1" x14ac:dyDescent="0.2">
      <c r="B56" s="29"/>
      <c r="C56" s="4"/>
      <c r="D56" s="212"/>
      <c r="E56" s="213"/>
      <c r="F56" s="213"/>
      <c r="G56" s="213"/>
      <c r="H56" s="214"/>
      <c r="I56" s="32" t="str">
        <f t="shared" si="0"/>
        <v/>
      </c>
      <c r="J56" s="32" t="str">
        <f t="shared" si="2"/>
        <v/>
      </c>
    </row>
    <row r="57" spans="2:10" ht="20.100000000000001" customHeight="1" x14ac:dyDescent="0.2">
      <c r="B57" s="29"/>
      <c r="C57" s="4"/>
      <c r="D57" s="212"/>
      <c r="E57" s="213"/>
      <c r="F57" s="213"/>
      <c r="G57" s="213"/>
      <c r="H57" s="214"/>
      <c r="I57" s="32" t="str">
        <f t="shared" si="0"/>
        <v/>
      </c>
      <c r="J57" s="32" t="str">
        <f t="shared" si="2"/>
        <v/>
      </c>
    </row>
    <row r="58" spans="2:10" ht="20.100000000000001" customHeight="1" x14ac:dyDescent="0.2">
      <c r="B58" s="29"/>
      <c r="C58" s="4"/>
      <c r="D58" s="212"/>
      <c r="E58" s="213"/>
      <c r="F58" s="213"/>
      <c r="G58" s="213"/>
      <c r="H58" s="214"/>
      <c r="I58" s="32" t="str">
        <f t="shared" si="0"/>
        <v/>
      </c>
      <c r="J58" s="32" t="str">
        <f t="shared" si="2"/>
        <v/>
      </c>
    </row>
    <row r="59" spans="2:10" ht="20.100000000000001" customHeight="1" x14ac:dyDescent="0.2">
      <c r="B59" s="29"/>
      <c r="C59" s="4"/>
      <c r="D59" s="212"/>
      <c r="E59" s="213"/>
      <c r="F59" s="213"/>
      <c r="G59" s="213"/>
      <c r="H59" s="214"/>
      <c r="I59" s="32" t="str">
        <f t="shared" si="0"/>
        <v/>
      </c>
      <c r="J59" s="32" t="str">
        <f t="shared" si="2"/>
        <v/>
      </c>
    </row>
    <row r="60" spans="2:10" ht="20.100000000000001" customHeight="1" x14ac:dyDescent="0.2">
      <c r="B60" s="29"/>
      <c r="C60" s="4"/>
      <c r="D60" s="212"/>
      <c r="E60" s="213"/>
      <c r="F60" s="213"/>
      <c r="G60" s="213"/>
      <c r="H60" s="214"/>
      <c r="I60" s="32" t="str">
        <f t="shared" si="0"/>
        <v/>
      </c>
      <c r="J60" s="32" t="str">
        <f t="shared" si="2"/>
        <v/>
      </c>
    </row>
    <row r="61" spans="2:10" ht="20.100000000000001" customHeight="1" x14ac:dyDescent="0.2">
      <c r="B61" s="29"/>
      <c r="C61" s="4"/>
      <c r="D61" s="212"/>
      <c r="E61" s="213"/>
      <c r="F61" s="213"/>
      <c r="G61" s="213"/>
      <c r="H61" s="214"/>
      <c r="I61" s="32" t="str">
        <f t="shared" si="0"/>
        <v/>
      </c>
      <c r="J61" s="32" t="str">
        <f t="shared" si="2"/>
        <v/>
      </c>
    </row>
    <row r="62" spans="2:10" ht="20.100000000000001" customHeight="1" x14ac:dyDescent="0.2">
      <c r="B62" s="29"/>
      <c r="C62" s="4"/>
      <c r="D62" s="212"/>
      <c r="E62" s="213"/>
      <c r="F62" s="213"/>
      <c r="G62" s="213"/>
      <c r="H62" s="214"/>
      <c r="I62" s="32" t="str">
        <f t="shared" si="0"/>
        <v/>
      </c>
      <c r="J62" s="32" t="str">
        <f t="shared" si="2"/>
        <v/>
      </c>
    </row>
    <row r="63" spans="2:10" ht="20.100000000000001" customHeight="1" x14ac:dyDescent="0.2">
      <c r="B63" s="29"/>
      <c r="C63" s="4"/>
      <c r="D63" s="212"/>
      <c r="E63" s="213"/>
      <c r="F63" s="213"/>
      <c r="G63" s="213"/>
      <c r="H63" s="214"/>
      <c r="I63" s="32" t="str">
        <f t="shared" si="0"/>
        <v/>
      </c>
      <c r="J63" s="32" t="str">
        <f t="shared" si="2"/>
        <v/>
      </c>
    </row>
    <row r="64" spans="2:10" ht="20.100000000000001" customHeight="1" x14ac:dyDescent="0.2">
      <c r="B64" s="29"/>
      <c r="C64" s="4"/>
      <c r="D64" s="212"/>
      <c r="E64" s="213"/>
      <c r="F64" s="213"/>
      <c r="G64" s="213"/>
      <c r="H64" s="214"/>
      <c r="I64" s="32" t="str">
        <f t="shared" si="0"/>
        <v/>
      </c>
      <c r="J64" s="32" t="str">
        <f t="shared" si="2"/>
        <v/>
      </c>
    </row>
    <row r="65" spans="2:10" ht="20.100000000000001" customHeight="1" x14ac:dyDescent="0.2">
      <c r="B65" s="29"/>
      <c r="C65" s="4"/>
      <c r="D65" s="212"/>
      <c r="E65" s="213"/>
      <c r="F65" s="213"/>
      <c r="G65" s="213"/>
      <c r="H65" s="214"/>
      <c r="I65" s="32" t="str">
        <f t="shared" si="0"/>
        <v/>
      </c>
      <c r="J65" s="32" t="str">
        <f t="shared" si="2"/>
        <v/>
      </c>
    </row>
    <row r="66" spans="2:10" ht="20.100000000000001" customHeight="1" x14ac:dyDescent="0.2">
      <c r="B66" s="29"/>
      <c r="C66" s="4"/>
      <c r="D66" s="212"/>
      <c r="E66" s="213"/>
      <c r="F66" s="213"/>
      <c r="G66" s="213"/>
      <c r="H66" s="214"/>
      <c r="I66" s="32" t="str">
        <f t="shared" si="0"/>
        <v/>
      </c>
      <c r="J66" s="32" t="str">
        <f t="shared" si="2"/>
        <v/>
      </c>
    </row>
    <row r="67" spans="2:10" ht="20.100000000000001" customHeight="1" x14ac:dyDescent="0.2">
      <c r="B67" s="29"/>
      <c r="C67" s="4"/>
      <c r="D67" s="212"/>
      <c r="E67" s="213"/>
      <c r="F67" s="213"/>
      <c r="G67" s="213"/>
      <c r="H67" s="214"/>
      <c r="I67" s="32" t="str">
        <f t="shared" si="0"/>
        <v/>
      </c>
      <c r="J67" s="32" t="str">
        <f t="shared" si="2"/>
        <v/>
      </c>
    </row>
    <row r="68" spans="2:10" ht="20.100000000000001" customHeight="1" x14ac:dyDescent="0.2">
      <c r="B68" s="29"/>
      <c r="C68" s="4"/>
      <c r="D68" s="212"/>
      <c r="E68" s="213"/>
      <c r="F68" s="213"/>
      <c r="G68" s="213"/>
      <c r="H68" s="214"/>
      <c r="I68" s="32" t="str">
        <f t="shared" si="0"/>
        <v/>
      </c>
      <c r="J68" s="32" t="str">
        <f t="shared" si="2"/>
        <v/>
      </c>
    </row>
    <row r="69" spans="2:10" ht="20.100000000000001" customHeight="1" x14ac:dyDescent="0.2">
      <c r="B69" s="29"/>
      <c r="C69" s="4"/>
      <c r="D69" s="212"/>
      <c r="E69" s="213"/>
      <c r="F69" s="213"/>
      <c r="G69" s="213"/>
      <c r="H69" s="214"/>
      <c r="I69" s="32" t="str">
        <f t="shared" ref="I69:I132" si="3">IFERROR(AVERAGE(INDEX($D:$H,ROW(),)),"")</f>
        <v/>
      </c>
      <c r="J69" s="32" t="str">
        <f t="shared" si="2"/>
        <v/>
      </c>
    </row>
    <row r="70" spans="2:10" ht="20.100000000000001" customHeight="1" x14ac:dyDescent="0.2">
      <c r="B70" s="29"/>
      <c r="C70" s="4"/>
      <c r="D70" s="212"/>
      <c r="E70" s="213"/>
      <c r="F70" s="213"/>
      <c r="G70" s="213"/>
      <c r="H70" s="214"/>
      <c r="I70" s="32" t="str">
        <f t="shared" si="3"/>
        <v/>
      </c>
      <c r="J70" s="32" t="str">
        <f t="shared" si="2"/>
        <v/>
      </c>
    </row>
    <row r="71" spans="2:10" ht="20.100000000000001" customHeight="1" x14ac:dyDescent="0.2">
      <c r="B71" s="29"/>
      <c r="C71" s="4"/>
      <c r="D71" s="212"/>
      <c r="E71" s="213"/>
      <c r="F71" s="213"/>
      <c r="G71" s="213"/>
      <c r="H71" s="214"/>
      <c r="I71" s="32" t="str">
        <f t="shared" si="3"/>
        <v/>
      </c>
      <c r="J71" s="32" t="str">
        <f t="shared" si="2"/>
        <v/>
      </c>
    </row>
    <row r="72" spans="2:10" ht="20.100000000000001" customHeight="1" x14ac:dyDescent="0.2">
      <c r="B72" s="29"/>
      <c r="C72" s="4"/>
      <c r="D72" s="212"/>
      <c r="E72" s="213"/>
      <c r="F72" s="213"/>
      <c r="G72" s="213"/>
      <c r="H72" s="214"/>
      <c r="I72" s="32" t="str">
        <f t="shared" si="3"/>
        <v/>
      </c>
      <c r="J72" s="32" t="str">
        <f t="shared" si="2"/>
        <v/>
      </c>
    </row>
    <row r="73" spans="2:10" ht="20.100000000000001" customHeight="1" x14ac:dyDescent="0.2">
      <c r="B73" s="29"/>
      <c r="C73" s="4"/>
      <c r="D73" s="212"/>
      <c r="E73" s="213"/>
      <c r="F73" s="213"/>
      <c r="G73" s="213"/>
      <c r="H73" s="214"/>
      <c r="I73" s="32" t="str">
        <f t="shared" si="3"/>
        <v/>
      </c>
      <c r="J73" s="32" t="str">
        <f t="shared" si="2"/>
        <v/>
      </c>
    </row>
    <row r="74" spans="2:10" ht="20.100000000000001" customHeight="1" x14ac:dyDescent="0.2">
      <c r="B74" s="29"/>
      <c r="C74" s="4"/>
      <c r="D74" s="212"/>
      <c r="E74" s="213"/>
      <c r="F74" s="213"/>
      <c r="G74" s="213"/>
      <c r="H74" s="214"/>
      <c r="I74" s="32" t="str">
        <f t="shared" si="3"/>
        <v/>
      </c>
      <c r="J74" s="32" t="str">
        <f t="shared" si="2"/>
        <v/>
      </c>
    </row>
    <row r="75" spans="2:10" ht="20.100000000000001" customHeight="1" x14ac:dyDescent="0.2">
      <c r="B75" s="29"/>
      <c r="C75" s="4"/>
      <c r="D75" s="212"/>
      <c r="E75" s="213"/>
      <c r="F75" s="213"/>
      <c r="G75" s="213"/>
      <c r="H75" s="214"/>
      <c r="I75" s="32" t="str">
        <f t="shared" si="3"/>
        <v/>
      </c>
      <c r="J75" s="32" t="str">
        <f t="shared" ref="J75:J138" si="4">IF(ISBLANK(INDEX(D:H,ROW(),1)),"",MIN(INDEX($D:$H,ROW(),)))</f>
        <v/>
      </c>
    </row>
    <row r="76" spans="2:10" ht="20.100000000000001" customHeight="1" x14ac:dyDescent="0.2">
      <c r="B76" s="29"/>
      <c r="C76" s="4"/>
      <c r="D76" s="212"/>
      <c r="E76" s="213"/>
      <c r="F76" s="213"/>
      <c r="G76" s="213"/>
      <c r="H76" s="214"/>
      <c r="I76" s="32" t="str">
        <f t="shared" si="3"/>
        <v/>
      </c>
      <c r="J76" s="32" t="str">
        <f t="shared" si="4"/>
        <v/>
      </c>
    </row>
    <row r="77" spans="2:10" ht="20.100000000000001" customHeight="1" x14ac:dyDescent="0.2">
      <c r="B77" s="29"/>
      <c r="C77" s="4"/>
      <c r="D77" s="212"/>
      <c r="E77" s="213"/>
      <c r="F77" s="213"/>
      <c r="G77" s="213"/>
      <c r="H77" s="214"/>
      <c r="I77" s="32" t="str">
        <f t="shared" si="3"/>
        <v/>
      </c>
      <c r="J77" s="32" t="str">
        <f t="shared" si="4"/>
        <v/>
      </c>
    </row>
    <row r="78" spans="2:10" ht="20.100000000000001" customHeight="1" x14ac:dyDescent="0.2">
      <c r="B78" s="29"/>
      <c r="C78" s="4"/>
      <c r="D78" s="212"/>
      <c r="E78" s="213"/>
      <c r="F78" s="213"/>
      <c r="G78" s="213"/>
      <c r="H78" s="214"/>
      <c r="I78" s="32" t="str">
        <f t="shared" si="3"/>
        <v/>
      </c>
      <c r="J78" s="32" t="str">
        <f t="shared" si="4"/>
        <v/>
      </c>
    </row>
    <row r="79" spans="2:10" ht="20.100000000000001" customHeight="1" x14ac:dyDescent="0.2">
      <c r="B79" s="29"/>
      <c r="C79" s="4"/>
      <c r="D79" s="212"/>
      <c r="E79" s="213"/>
      <c r="F79" s="213"/>
      <c r="G79" s="213"/>
      <c r="H79" s="214"/>
      <c r="I79" s="32" t="str">
        <f t="shared" si="3"/>
        <v/>
      </c>
      <c r="J79" s="32" t="str">
        <f t="shared" si="4"/>
        <v/>
      </c>
    </row>
    <row r="80" spans="2:10" ht="20.100000000000001" customHeight="1" x14ac:dyDescent="0.2">
      <c r="B80" s="29"/>
      <c r="C80" s="4"/>
      <c r="D80" s="212"/>
      <c r="E80" s="213"/>
      <c r="F80" s="213"/>
      <c r="G80" s="213"/>
      <c r="H80" s="214"/>
      <c r="I80" s="32" t="str">
        <f t="shared" si="3"/>
        <v/>
      </c>
      <c r="J80" s="32" t="str">
        <f t="shared" si="4"/>
        <v/>
      </c>
    </row>
    <row r="81" spans="2:10" ht="20.100000000000001" customHeight="1" x14ac:dyDescent="0.2">
      <c r="B81" s="29"/>
      <c r="C81" s="4"/>
      <c r="D81" s="212"/>
      <c r="E81" s="213"/>
      <c r="F81" s="213"/>
      <c r="G81" s="213"/>
      <c r="H81" s="214"/>
      <c r="I81" s="32" t="str">
        <f t="shared" si="3"/>
        <v/>
      </c>
      <c r="J81" s="32" t="str">
        <f t="shared" si="4"/>
        <v/>
      </c>
    </row>
    <row r="82" spans="2:10" ht="20.100000000000001" customHeight="1" x14ac:dyDescent="0.2">
      <c r="B82" s="29"/>
      <c r="C82" s="4"/>
      <c r="D82" s="212"/>
      <c r="E82" s="213"/>
      <c r="F82" s="213"/>
      <c r="G82" s="213"/>
      <c r="H82" s="214"/>
      <c r="I82" s="32" t="str">
        <f t="shared" si="3"/>
        <v/>
      </c>
      <c r="J82" s="32" t="str">
        <f t="shared" si="4"/>
        <v/>
      </c>
    </row>
    <row r="83" spans="2:10" ht="20.100000000000001" customHeight="1" x14ac:dyDescent="0.2">
      <c r="B83" s="29"/>
      <c r="C83" s="4"/>
      <c r="D83" s="212"/>
      <c r="E83" s="213"/>
      <c r="F83" s="213"/>
      <c r="G83" s="213"/>
      <c r="H83" s="214"/>
      <c r="I83" s="32" t="str">
        <f t="shared" si="3"/>
        <v/>
      </c>
      <c r="J83" s="32" t="str">
        <f t="shared" si="4"/>
        <v/>
      </c>
    </row>
    <row r="84" spans="2:10" ht="20.100000000000001" customHeight="1" x14ac:dyDescent="0.2">
      <c r="B84" s="29"/>
      <c r="C84" s="4"/>
      <c r="D84" s="212"/>
      <c r="E84" s="213"/>
      <c r="F84" s="213"/>
      <c r="G84" s="213"/>
      <c r="H84" s="214"/>
      <c r="I84" s="32" t="str">
        <f t="shared" si="3"/>
        <v/>
      </c>
      <c r="J84" s="32" t="str">
        <f t="shared" si="4"/>
        <v/>
      </c>
    </row>
    <row r="85" spans="2:10" ht="20.100000000000001" customHeight="1" x14ac:dyDescent="0.2">
      <c r="B85" s="29"/>
      <c r="C85" s="4"/>
      <c r="D85" s="212"/>
      <c r="E85" s="213"/>
      <c r="F85" s="213"/>
      <c r="G85" s="213"/>
      <c r="H85" s="214"/>
      <c r="I85" s="32" t="str">
        <f t="shared" si="3"/>
        <v/>
      </c>
      <c r="J85" s="32" t="str">
        <f t="shared" si="4"/>
        <v/>
      </c>
    </row>
    <row r="86" spans="2:10" ht="20.100000000000001" customHeight="1" x14ac:dyDescent="0.2">
      <c r="B86" s="29"/>
      <c r="C86" s="4"/>
      <c r="D86" s="212"/>
      <c r="E86" s="213"/>
      <c r="F86" s="213"/>
      <c r="G86" s="213"/>
      <c r="H86" s="214"/>
      <c r="I86" s="32" t="str">
        <f t="shared" si="3"/>
        <v/>
      </c>
      <c r="J86" s="32" t="str">
        <f t="shared" si="4"/>
        <v/>
      </c>
    </row>
    <row r="87" spans="2:10" ht="20.100000000000001" customHeight="1" x14ac:dyDescent="0.2">
      <c r="B87" s="29"/>
      <c r="C87" s="4"/>
      <c r="D87" s="212"/>
      <c r="E87" s="213"/>
      <c r="F87" s="213"/>
      <c r="G87" s="213"/>
      <c r="H87" s="214"/>
      <c r="I87" s="32" t="str">
        <f t="shared" si="3"/>
        <v/>
      </c>
      <c r="J87" s="32" t="str">
        <f t="shared" si="4"/>
        <v/>
      </c>
    </row>
    <row r="88" spans="2:10" ht="20.100000000000001" customHeight="1" x14ac:dyDescent="0.2">
      <c r="B88" s="29"/>
      <c r="C88" s="4"/>
      <c r="D88" s="212"/>
      <c r="E88" s="213"/>
      <c r="F88" s="213"/>
      <c r="G88" s="213"/>
      <c r="H88" s="214"/>
      <c r="I88" s="32" t="str">
        <f t="shared" si="3"/>
        <v/>
      </c>
      <c r="J88" s="32" t="str">
        <f t="shared" si="4"/>
        <v/>
      </c>
    </row>
    <row r="89" spans="2:10" ht="20.100000000000001" customHeight="1" x14ac:dyDescent="0.2">
      <c r="B89" s="29"/>
      <c r="C89" s="4"/>
      <c r="D89" s="212"/>
      <c r="E89" s="213"/>
      <c r="F89" s="213"/>
      <c r="G89" s="213"/>
      <c r="H89" s="214"/>
      <c r="I89" s="32" t="str">
        <f t="shared" si="3"/>
        <v/>
      </c>
      <c r="J89" s="32" t="str">
        <f t="shared" si="4"/>
        <v/>
      </c>
    </row>
    <row r="90" spans="2:10" ht="20.100000000000001" customHeight="1" x14ac:dyDescent="0.2">
      <c r="B90" s="29"/>
      <c r="C90" s="4"/>
      <c r="D90" s="212"/>
      <c r="E90" s="213"/>
      <c r="F90" s="213"/>
      <c r="G90" s="213"/>
      <c r="H90" s="214"/>
      <c r="I90" s="32" t="str">
        <f t="shared" si="3"/>
        <v/>
      </c>
      <c r="J90" s="32" t="str">
        <f t="shared" si="4"/>
        <v/>
      </c>
    </row>
    <row r="91" spans="2:10" ht="20.100000000000001" customHeight="1" x14ac:dyDescent="0.2">
      <c r="B91" s="29"/>
      <c r="C91" s="4"/>
      <c r="D91" s="212"/>
      <c r="E91" s="213"/>
      <c r="F91" s="213"/>
      <c r="G91" s="213"/>
      <c r="H91" s="214"/>
      <c r="I91" s="32" t="str">
        <f t="shared" si="3"/>
        <v/>
      </c>
      <c r="J91" s="32" t="str">
        <f t="shared" si="4"/>
        <v/>
      </c>
    </row>
    <row r="92" spans="2:10" ht="20.100000000000001" customHeight="1" x14ac:dyDescent="0.2">
      <c r="B92" s="29"/>
      <c r="C92" s="4"/>
      <c r="D92" s="212"/>
      <c r="E92" s="213"/>
      <c r="F92" s="213"/>
      <c r="G92" s="213"/>
      <c r="H92" s="214"/>
      <c r="I92" s="32" t="str">
        <f t="shared" si="3"/>
        <v/>
      </c>
      <c r="J92" s="32" t="str">
        <f t="shared" si="4"/>
        <v/>
      </c>
    </row>
    <row r="93" spans="2:10" ht="20.100000000000001" customHeight="1" x14ac:dyDescent="0.2">
      <c r="B93" s="29"/>
      <c r="C93" s="4"/>
      <c r="D93" s="212"/>
      <c r="E93" s="213"/>
      <c r="F93" s="213"/>
      <c r="G93" s="213"/>
      <c r="H93" s="214"/>
      <c r="I93" s="32" t="str">
        <f t="shared" si="3"/>
        <v/>
      </c>
      <c r="J93" s="32" t="str">
        <f t="shared" si="4"/>
        <v/>
      </c>
    </row>
    <row r="94" spans="2:10" ht="20.100000000000001" customHeight="1" x14ac:dyDescent="0.2">
      <c r="B94" s="29"/>
      <c r="C94" s="4"/>
      <c r="D94" s="212"/>
      <c r="E94" s="213"/>
      <c r="F94" s="213"/>
      <c r="G94" s="213"/>
      <c r="H94" s="214"/>
      <c r="I94" s="32" t="str">
        <f t="shared" si="3"/>
        <v/>
      </c>
      <c r="J94" s="32" t="str">
        <f t="shared" si="4"/>
        <v/>
      </c>
    </row>
    <row r="95" spans="2:10" ht="20.100000000000001" customHeight="1" x14ac:dyDescent="0.2">
      <c r="B95" s="29"/>
      <c r="C95" s="4"/>
      <c r="D95" s="212"/>
      <c r="E95" s="213"/>
      <c r="F95" s="213"/>
      <c r="G95" s="213"/>
      <c r="H95" s="214"/>
      <c r="I95" s="32" t="str">
        <f t="shared" si="3"/>
        <v/>
      </c>
      <c r="J95" s="32" t="str">
        <f t="shared" si="4"/>
        <v/>
      </c>
    </row>
    <row r="96" spans="2:10" ht="20.100000000000001" customHeight="1" x14ac:dyDescent="0.2">
      <c r="B96" s="29"/>
      <c r="C96" s="4"/>
      <c r="D96" s="212"/>
      <c r="E96" s="213"/>
      <c r="F96" s="213"/>
      <c r="G96" s="213"/>
      <c r="H96" s="214"/>
      <c r="I96" s="32" t="str">
        <f t="shared" si="3"/>
        <v/>
      </c>
      <c r="J96" s="32" t="str">
        <f t="shared" si="4"/>
        <v/>
      </c>
    </row>
    <row r="97" spans="2:10" ht="20.100000000000001" customHeight="1" x14ac:dyDescent="0.2">
      <c r="B97" s="29"/>
      <c r="C97" s="4"/>
      <c r="D97" s="212"/>
      <c r="E97" s="213"/>
      <c r="F97" s="213"/>
      <c r="G97" s="213"/>
      <c r="H97" s="214"/>
      <c r="I97" s="32" t="str">
        <f t="shared" si="3"/>
        <v/>
      </c>
      <c r="J97" s="32" t="str">
        <f t="shared" si="4"/>
        <v/>
      </c>
    </row>
    <row r="98" spans="2:10" ht="20.100000000000001" customHeight="1" x14ac:dyDescent="0.2">
      <c r="B98" s="29"/>
      <c r="C98" s="4"/>
      <c r="D98" s="212"/>
      <c r="E98" s="213"/>
      <c r="F98" s="213"/>
      <c r="G98" s="213"/>
      <c r="H98" s="214"/>
      <c r="I98" s="32" t="str">
        <f t="shared" si="3"/>
        <v/>
      </c>
      <c r="J98" s="32" t="str">
        <f t="shared" si="4"/>
        <v/>
      </c>
    </row>
    <row r="99" spans="2:10" ht="20.100000000000001" customHeight="1" x14ac:dyDescent="0.2">
      <c r="B99" s="29"/>
      <c r="C99" s="4"/>
      <c r="D99" s="212"/>
      <c r="E99" s="213"/>
      <c r="F99" s="213"/>
      <c r="G99" s="213"/>
      <c r="H99" s="214"/>
      <c r="I99" s="32" t="str">
        <f t="shared" si="3"/>
        <v/>
      </c>
      <c r="J99" s="32" t="str">
        <f t="shared" si="4"/>
        <v/>
      </c>
    </row>
    <row r="100" spans="2:10" ht="20.100000000000001" customHeight="1" x14ac:dyDescent="0.2">
      <c r="B100" s="29"/>
      <c r="C100" s="4"/>
      <c r="D100" s="212"/>
      <c r="E100" s="213"/>
      <c r="F100" s="213"/>
      <c r="G100" s="213"/>
      <c r="H100" s="214"/>
      <c r="I100" s="32" t="str">
        <f t="shared" si="3"/>
        <v/>
      </c>
      <c r="J100" s="32" t="str">
        <f t="shared" si="4"/>
        <v/>
      </c>
    </row>
    <row r="101" spans="2:10" ht="20.100000000000001" customHeight="1" x14ac:dyDescent="0.2">
      <c r="B101" s="29"/>
      <c r="C101" s="4"/>
      <c r="D101" s="212"/>
      <c r="E101" s="213"/>
      <c r="F101" s="213"/>
      <c r="G101" s="213"/>
      <c r="H101" s="214"/>
      <c r="I101" s="32" t="str">
        <f t="shared" si="3"/>
        <v/>
      </c>
      <c r="J101" s="32" t="str">
        <f t="shared" si="4"/>
        <v/>
      </c>
    </row>
    <row r="102" spans="2:10" ht="20.100000000000001" customHeight="1" x14ac:dyDescent="0.2">
      <c r="B102" s="29"/>
      <c r="C102" s="4"/>
      <c r="D102" s="212"/>
      <c r="E102" s="213"/>
      <c r="F102" s="213"/>
      <c r="G102" s="213"/>
      <c r="H102" s="214"/>
      <c r="I102" s="32" t="str">
        <f t="shared" si="3"/>
        <v/>
      </c>
      <c r="J102" s="32" t="str">
        <f t="shared" si="4"/>
        <v/>
      </c>
    </row>
    <row r="103" spans="2:10" ht="20.100000000000001" customHeight="1" x14ac:dyDescent="0.2">
      <c r="B103" s="29"/>
      <c r="C103" s="4"/>
      <c r="D103" s="212"/>
      <c r="E103" s="213"/>
      <c r="F103" s="213"/>
      <c r="G103" s="213"/>
      <c r="H103" s="214"/>
      <c r="I103" s="32" t="str">
        <f t="shared" si="3"/>
        <v/>
      </c>
      <c r="J103" s="32" t="str">
        <f t="shared" si="4"/>
        <v/>
      </c>
    </row>
    <row r="104" spans="2:10" ht="20.100000000000001" customHeight="1" x14ac:dyDescent="0.2">
      <c r="B104" s="29"/>
      <c r="C104" s="4"/>
      <c r="D104" s="212"/>
      <c r="E104" s="213"/>
      <c r="F104" s="213"/>
      <c r="G104" s="213"/>
      <c r="H104" s="214"/>
      <c r="I104" s="32" t="str">
        <f t="shared" si="3"/>
        <v/>
      </c>
      <c r="J104" s="32" t="str">
        <f t="shared" si="4"/>
        <v/>
      </c>
    </row>
    <row r="105" spans="2:10" ht="20.100000000000001" customHeight="1" x14ac:dyDescent="0.2">
      <c r="B105" s="29"/>
      <c r="C105" s="4"/>
      <c r="D105" s="212"/>
      <c r="E105" s="213"/>
      <c r="F105" s="213"/>
      <c r="G105" s="213"/>
      <c r="H105" s="214"/>
      <c r="I105" s="32" t="str">
        <f t="shared" si="3"/>
        <v/>
      </c>
      <c r="J105" s="32" t="str">
        <f t="shared" si="4"/>
        <v/>
      </c>
    </row>
    <row r="106" spans="2:10" ht="20.100000000000001" customHeight="1" x14ac:dyDescent="0.2">
      <c r="B106" s="29"/>
      <c r="C106" s="4"/>
      <c r="D106" s="212"/>
      <c r="E106" s="213"/>
      <c r="F106" s="213"/>
      <c r="G106" s="213"/>
      <c r="H106" s="214"/>
      <c r="I106" s="32" t="str">
        <f t="shared" si="3"/>
        <v/>
      </c>
      <c r="J106" s="32" t="str">
        <f t="shared" si="4"/>
        <v/>
      </c>
    </row>
    <row r="107" spans="2:10" ht="20.100000000000001" customHeight="1" x14ac:dyDescent="0.2">
      <c r="B107" s="29"/>
      <c r="C107" s="4"/>
      <c r="D107" s="212"/>
      <c r="E107" s="213"/>
      <c r="F107" s="213"/>
      <c r="G107" s="213"/>
      <c r="H107" s="214"/>
      <c r="I107" s="32" t="str">
        <f t="shared" si="3"/>
        <v/>
      </c>
      <c r="J107" s="32" t="str">
        <f t="shared" si="4"/>
        <v/>
      </c>
    </row>
    <row r="108" spans="2:10" ht="20.100000000000001" customHeight="1" x14ac:dyDescent="0.2">
      <c r="B108" s="29"/>
      <c r="C108" s="4"/>
      <c r="D108" s="212"/>
      <c r="E108" s="213"/>
      <c r="F108" s="213"/>
      <c r="G108" s="213"/>
      <c r="H108" s="214"/>
      <c r="I108" s="32" t="str">
        <f t="shared" si="3"/>
        <v/>
      </c>
      <c r="J108" s="32" t="str">
        <f t="shared" si="4"/>
        <v/>
      </c>
    </row>
    <row r="109" spans="2:10" ht="20.100000000000001" customHeight="1" x14ac:dyDescent="0.2">
      <c r="B109" s="29"/>
      <c r="C109" s="4"/>
      <c r="D109" s="212"/>
      <c r="E109" s="213"/>
      <c r="F109" s="213"/>
      <c r="G109" s="213"/>
      <c r="H109" s="214"/>
      <c r="I109" s="32" t="str">
        <f t="shared" si="3"/>
        <v/>
      </c>
      <c r="J109" s="32" t="str">
        <f t="shared" si="4"/>
        <v/>
      </c>
    </row>
    <row r="110" spans="2:10" ht="20.100000000000001" customHeight="1" x14ac:dyDescent="0.2">
      <c r="B110" s="29"/>
      <c r="C110" s="4"/>
      <c r="D110" s="212"/>
      <c r="E110" s="213"/>
      <c r="F110" s="213"/>
      <c r="G110" s="213"/>
      <c r="H110" s="214"/>
      <c r="I110" s="32" t="str">
        <f t="shared" si="3"/>
        <v/>
      </c>
      <c r="J110" s="32" t="str">
        <f t="shared" si="4"/>
        <v/>
      </c>
    </row>
    <row r="111" spans="2:10" ht="20.100000000000001" customHeight="1" x14ac:dyDescent="0.2">
      <c r="B111" s="29"/>
      <c r="C111" s="4"/>
      <c r="D111" s="212"/>
      <c r="E111" s="213"/>
      <c r="F111" s="213"/>
      <c r="G111" s="213"/>
      <c r="H111" s="214"/>
      <c r="I111" s="32" t="str">
        <f t="shared" si="3"/>
        <v/>
      </c>
      <c r="J111" s="32" t="str">
        <f t="shared" si="4"/>
        <v/>
      </c>
    </row>
    <row r="112" spans="2:10" ht="20.100000000000001" customHeight="1" x14ac:dyDescent="0.2">
      <c r="B112" s="29"/>
      <c r="C112" s="4"/>
      <c r="D112" s="212"/>
      <c r="E112" s="213"/>
      <c r="F112" s="213"/>
      <c r="G112" s="213"/>
      <c r="H112" s="214"/>
      <c r="I112" s="32" t="str">
        <f t="shared" si="3"/>
        <v/>
      </c>
      <c r="J112" s="32" t="str">
        <f t="shared" si="4"/>
        <v/>
      </c>
    </row>
    <row r="113" spans="2:10" ht="20.100000000000001" customHeight="1" x14ac:dyDescent="0.2">
      <c r="B113" s="29"/>
      <c r="C113" s="4"/>
      <c r="D113" s="212"/>
      <c r="E113" s="213"/>
      <c r="F113" s="213"/>
      <c r="G113" s="213"/>
      <c r="H113" s="214"/>
      <c r="I113" s="32" t="str">
        <f t="shared" si="3"/>
        <v/>
      </c>
      <c r="J113" s="32" t="str">
        <f t="shared" si="4"/>
        <v/>
      </c>
    </row>
    <row r="114" spans="2:10" ht="20.100000000000001" customHeight="1" x14ac:dyDescent="0.2">
      <c r="B114" s="29"/>
      <c r="C114" s="4"/>
      <c r="D114" s="212"/>
      <c r="E114" s="213"/>
      <c r="F114" s="213"/>
      <c r="G114" s="213"/>
      <c r="H114" s="214"/>
      <c r="I114" s="32" t="str">
        <f t="shared" si="3"/>
        <v/>
      </c>
      <c r="J114" s="32" t="str">
        <f t="shared" si="4"/>
        <v/>
      </c>
    </row>
    <row r="115" spans="2:10" ht="20.100000000000001" customHeight="1" x14ac:dyDescent="0.2">
      <c r="B115" s="29"/>
      <c r="C115" s="4"/>
      <c r="D115" s="212"/>
      <c r="E115" s="213"/>
      <c r="F115" s="213"/>
      <c r="G115" s="213"/>
      <c r="H115" s="214"/>
      <c r="I115" s="32" t="str">
        <f t="shared" si="3"/>
        <v/>
      </c>
      <c r="J115" s="32" t="str">
        <f t="shared" si="4"/>
        <v/>
      </c>
    </row>
    <row r="116" spans="2:10" ht="20.100000000000001" customHeight="1" x14ac:dyDescent="0.2">
      <c r="B116" s="29"/>
      <c r="C116" s="4"/>
      <c r="D116" s="212"/>
      <c r="E116" s="213"/>
      <c r="F116" s="213"/>
      <c r="G116" s="213"/>
      <c r="H116" s="214"/>
      <c r="I116" s="32" t="str">
        <f t="shared" si="3"/>
        <v/>
      </c>
      <c r="J116" s="32" t="str">
        <f t="shared" si="4"/>
        <v/>
      </c>
    </row>
    <row r="117" spans="2:10" ht="20.100000000000001" customHeight="1" x14ac:dyDescent="0.2">
      <c r="B117" s="29"/>
      <c r="C117" s="4"/>
      <c r="D117" s="212"/>
      <c r="E117" s="213"/>
      <c r="F117" s="213"/>
      <c r="G117" s="213"/>
      <c r="H117" s="214"/>
      <c r="I117" s="32" t="str">
        <f t="shared" si="3"/>
        <v/>
      </c>
      <c r="J117" s="32" t="str">
        <f t="shared" si="4"/>
        <v/>
      </c>
    </row>
    <row r="118" spans="2:10" ht="20.100000000000001" customHeight="1" x14ac:dyDescent="0.2">
      <c r="B118" s="29"/>
      <c r="C118" s="4"/>
      <c r="D118" s="212"/>
      <c r="E118" s="213"/>
      <c r="F118" s="213"/>
      <c r="G118" s="213"/>
      <c r="H118" s="214"/>
      <c r="I118" s="32" t="str">
        <f t="shared" si="3"/>
        <v/>
      </c>
      <c r="J118" s="32" t="str">
        <f t="shared" si="4"/>
        <v/>
      </c>
    </row>
    <row r="119" spans="2:10" ht="20.100000000000001" customHeight="1" x14ac:dyDescent="0.2">
      <c r="B119" s="29"/>
      <c r="C119" s="4"/>
      <c r="D119" s="212"/>
      <c r="E119" s="213"/>
      <c r="F119" s="213"/>
      <c r="G119" s="213"/>
      <c r="H119" s="214"/>
      <c r="I119" s="32" t="str">
        <f t="shared" si="3"/>
        <v/>
      </c>
      <c r="J119" s="32" t="str">
        <f t="shared" si="4"/>
        <v/>
      </c>
    </row>
    <row r="120" spans="2:10" ht="20.100000000000001" customHeight="1" x14ac:dyDescent="0.2">
      <c r="B120" s="29"/>
      <c r="C120" s="4"/>
      <c r="D120" s="212"/>
      <c r="E120" s="213"/>
      <c r="F120" s="213"/>
      <c r="G120" s="213"/>
      <c r="H120" s="214"/>
      <c r="I120" s="32" t="str">
        <f t="shared" si="3"/>
        <v/>
      </c>
      <c r="J120" s="32" t="str">
        <f t="shared" si="4"/>
        <v/>
      </c>
    </row>
    <row r="121" spans="2:10" ht="20.100000000000001" customHeight="1" x14ac:dyDescent="0.2">
      <c r="B121" s="29"/>
      <c r="C121" s="4"/>
      <c r="D121" s="212"/>
      <c r="E121" s="213"/>
      <c r="F121" s="213"/>
      <c r="G121" s="213"/>
      <c r="H121" s="214"/>
      <c r="I121" s="32" t="str">
        <f t="shared" si="3"/>
        <v/>
      </c>
      <c r="J121" s="32" t="str">
        <f t="shared" si="4"/>
        <v/>
      </c>
    </row>
    <row r="122" spans="2:10" ht="20.100000000000001" customHeight="1" x14ac:dyDescent="0.2">
      <c r="B122" s="29"/>
      <c r="C122" s="4"/>
      <c r="D122" s="212"/>
      <c r="E122" s="213"/>
      <c r="F122" s="213"/>
      <c r="G122" s="213"/>
      <c r="H122" s="214"/>
      <c r="I122" s="32" t="str">
        <f t="shared" si="3"/>
        <v/>
      </c>
      <c r="J122" s="32" t="str">
        <f t="shared" si="4"/>
        <v/>
      </c>
    </row>
    <row r="123" spans="2:10" ht="20.100000000000001" customHeight="1" x14ac:dyDescent="0.2">
      <c r="B123" s="29"/>
      <c r="C123" s="4"/>
      <c r="D123" s="212"/>
      <c r="E123" s="213"/>
      <c r="F123" s="213"/>
      <c r="G123" s="213"/>
      <c r="H123" s="214"/>
      <c r="I123" s="32" t="str">
        <f t="shared" si="3"/>
        <v/>
      </c>
      <c r="J123" s="32" t="str">
        <f t="shared" si="4"/>
        <v/>
      </c>
    </row>
    <row r="124" spans="2:10" ht="20.100000000000001" customHeight="1" x14ac:dyDescent="0.2">
      <c r="B124" s="29"/>
      <c r="C124" s="4"/>
      <c r="D124" s="212"/>
      <c r="E124" s="213"/>
      <c r="F124" s="213"/>
      <c r="G124" s="213"/>
      <c r="H124" s="214"/>
      <c r="I124" s="32" t="str">
        <f t="shared" si="3"/>
        <v/>
      </c>
      <c r="J124" s="32" t="str">
        <f t="shared" si="4"/>
        <v/>
      </c>
    </row>
    <row r="125" spans="2:10" ht="20.100000000000001" customHeight="1" x14ac:dyDescent="0.2">
      <c r="B125" s="29"/>
      <c r="C125" s="4"/>
      <c r="D125" s="212"/>
      <c r="E125" s="213"/>
      <c r="F125" s="213"/>
      <c r="G125" s="213"/>
      <c r="H125" s="214"/>
      <c r="I125" s="32" t="str">
        <f t="shared" si="3"/>
        <v/>
      </c>
      <c r="J125" s="32" t="str">
        <f t="shared" si="4"/>
        <v/>
      </c>
    </row>
    <row r="126" spans="2:10" ht="20.100000000000001" customHeight="1" x14ac:dyDescent="0.2">
      <c r="B126" s="29"/>
      <c r="C126" s="4"/>
      <c r="D126" s="212"/>
      <c r="E126" s="213"/>
      <c r="F126" s="213"/>
      <c r="G126" s="213"/>
      <c r="H126" s="214"/>
      <c r="I126" s="32" t="str">
        <f t="shared" si="3"/>
        <v/>
      </c>
      <c r="J126" s="32" t="str">
        <f t="shared" si="4"/>
        <v/>
      </c>
    </row>
    <row r="127" spans="2:10" ht="20.100000000000001" customHeight="1" x14ac:dyDescent="0.2">
      <c r="B127" s="29"/>
      <c r="C127" s="4"/>
      <c r="D127" s="212"/>
      <c r="E127" s="213"/>
      <c r="F127" s="213"/>
      <c r="G127" s="213"/>
      <c r="H127" s="214"/>
      <c r="I127" s="32" t="str">
        <f t="shared" si="3"/>
        <v/>
      </c>
      <c r="J127" s="32" t="str">
        <f t="shared" si="4"/>
        <v/>
      </c>
    </row>
    <row r="128" spans="2:10" ht="20.100000000000001" customHeight="1" x14ac:dyDescent="0.2">
      <c r="B128" s="29"/>
      <c r="C128" s="4"/>
      <c r="D128" s="212"/>
      <c r="E128" s="213"/>
      <c r="F128" s="213"/>
      <c r="G128" s="213"/>
      <c r="H128" s="214"/>
      <c r="I128" s="32" t="str">
        <f t="shared" si="3"/>
        <v/>
      </c>
      <c r="J128" s="32" t="str">
        <f t="shared" si="4"/>
        <v/>
      </c>
    </row>
    <row r="129" spans="2:10" ht="20.100000000000001" customHeight="1" x14ac:dyDescent="0.2">
      <c r="B129" s="29"/>
      <c r="C129" s="4"/>
      <c r="D129" s="212"/>
      <c r="E129" s="213"/>
      <c r="F129" s="213"/>
      <c r="G129" s="213"/>
      <c r="H129" s="214"/>
      <c r="I129" s="32" t="str">
        <f t="shared" si="3"/>
        <v/>
      </c>
      <c r="J129" s="32" t="str">
        <f t="shared" si="4"/>
        <v/>
      </c>
    </row>
    <row r="130" spans="2:10" ht="20.100000000000001" customHeight="1" x14ac:dyDescent="0.2">
      <c r="B130" s="29"/>
      <c r="C130" s="4"/>
      <c r="D130" s="212"/>
      <c r="E130" s="213"/>
      <c r="F130" s="213"/>
      <c r="G130" s="213"/>
      <c r="H130" s="214"/>
      <c r="I130" s="32" t="str">
        <f t="shared" si="3"/>
        <v/>
      </c>
      <c r="J130" s="32" t="str">
        <f t="shared" si="4"/>
        <v/>
      </c>
    </row>
    <row r="131" spans="2:10" ht="20.100000000000001" customHeight="1" x14ac:dyDescent="0.2">
      <c r="B131" s="29"/>
      <c r="C131" s="4"/>
      <c r="D131" s="212"/>
      <c r="E131" s="213"/>
      <c r="F131" s="213"/>
      <c r="G131" s="213"/>
      <c r="H131" s="214"/>
      <c r="I131" s="32" t="str">
        <f t="shared" si="3"/>
        <v/>
      </c>
      <c r="J131" s="32" t="str">
        <f t="shared" si="4"/>
        <v/>
      </c>
    </row>
    <row r="132" spans="2:10" ht="20.100000000000001" customHeight="1" x14ac:dyDescent="0.2">
      <c r="B132" s="29"/>
      <c r="C132" s="4"/>
      <c r="D132" s="212"/>
      <c r="E132" s="213"/>
      <c r="F132" s="213"/>
      <c r="G132" s="213"/>
      <c r="H132" s="214"/>
      <c r="I132" s="32" t="str">
        <f t="shared" si="3"/>
        <v/>
      </c>
      <c r="J132" s="32" t="str">
        <f t="shared" si="4"/>
        <v/>
      </c>
    </row>
    <row r="133" spans="2:10" ht="20.100000000000001" customHeight="1" x14ac:dyDescent="0.2">
      <c r="B133" s="29"/>
      <c r="C133" s="4"/>
      <c r="D133" s="212"/>
      <c r="E133" s="213"/>
      <c r="F133" s="213"/>
      <c r="G133" s="213"/>
      <c r="H133" s="214"/>
      <c r="I133" s="32" t="str">
        <f t="shared" ref="I133:I196" si="5">IFERROR(AVERAGE(INDEX($D:$H,ROW(),)),"")</f>
        <v/>
      </c>
      <c r="J133" s="32" t="str">
        <f t="shared" si="4"/>
        <v/>
      </c>
    </row>
    <row r="134" spans="2:10" ht="20.100000000000001" customHeight="1" x14ac:dyDescent="0.2">
      <c r="B134" s="29"/>
      <c r="C134" s="4"/>
      <c r="D134" s="212"/>
      <c r="E134" s="213"/>
      <c r="F134" s="213"/>
      <c r="G134" s="213"/>
      <c r="H134" s="214"/>
      <c r="I134" s="32" t="str">
        <f t="shared" si="5"/>
        <v/>
      </c>
      <c r="J134" s="32" t="str">
        <f t="shared" si="4"/>
        <v/>
      </c>
    </row>
    <row r="135" spans="2:10" ht="20.100000000000001" customHeight="1" x14ac:dyDescent="0.2">
      <c r="B135" s="29"/>
      <c r="C135" s="4"/>
      <c r="D135" s="212"/>
      <c r="E135" s="213"/>
      <c r="F135" s="213"/>
      <c r="G135" s="213"/>
      <c r="H135" s="214"/>
      <c r="I135" s="32" t="str">
        <f t="shared" si="5"/>
        <v/>
      </c>
      <c r="J135" s="32" t="str">
        <f t="shared" si="4"/>
        <v/>
      </c>
    </row>
    <row r="136" spans="2:10" ht="20.100000000000001" customHeight="1" x14ac:dyDescent="0.2">
      <c r="B136" s="29"/>
      <c r="C136" s="4"/>
      <c r="D136" s="212"/>
      <c r="E136" s="213"/>
      <c r="F136" s="213"/>
      <c r="G136" s="213"/>
      <c r="H136" s="214"/>
      <c r="I136" s="32" t="str">
        <f t="shared" si="5"/>
        <v/>
      </c>
      <c r="J136" s="32" t="str">
        <f t="shared" si="4"/>
        <v/>
      </c>
    </row>
    <row r="137" spans="2:10" ht="20.100000000000001" customHeight="1" x14ac:dyDescent="0.2">
      <c r="B137" s="29"/>
      <c r="C137" s="4"/>
      <c r="D137" s="212"/>
      <c r="E137" s="213"/>
      <c r="F137" s="213"/>
      <c r="G137" s="213"/>
      <c r="H137" s="214"/>
      <c r="I137" s="32" t="str">
        <f t="shared" si="5"/>
        <v/>
      </c>
      <c r="J137" s="32" t="str">
        <f t="shared" si="4"/>
        <v/>
      </c>
    </row>
    <row r="138" spans="2:10" ht="20.100000000000001" customHeight="1" x14ac:dyDescent="0.2">
      <c r="B138" s="29"/>
      <c r="C138" s="4"/>
      <c r="D138" s="212"/>
      <c r="E138" s="213"/>
      <c r="F138" s="213"/>
      <c r="G138" s="213"/>
      <c r="H138" s="214"/>
      <c r="I138" s="32" t="str">
        <f t="shared" si="5"/>
        <v/>
      </c>
      <c r="J138" s="32" t="str">
        <f t="shared" si="4"/>
        <v/>
      </c>
    </row>
    <row r="139" spans="2:10" ht="20.100000000000001" customHeight="1" x14ac:dyDescent="0.2">
      <c r="B139" s="29"/>
      <c r="C139" s="4"/>
      <c r="D139" s="212"/>
      <c r="E139" s="213"/>
      <c r="F139" s="213"/>
      <c r="G139" s="213"/>
      <c r="H139" s="214"/>
      <c r="I139" s="32" t="str">
        <f t="shared" si="5"/>
        <v/>
      </c>
      <c r="J139" s="32" t="str">
        <f t="shared" ref="J139:J202" si="6">IF(ISBLANK(INDEX(D:H,ROW(),1)),"",MIN(INDEX($D:$H,ROW(),)))</f>
        <v/>
      </c>
    </row>
    <row r="140" spans="2:10" ht="20.100000000000001" customHeight="1" x14ac:dyDescent="0.2">
      <c r="B140" s="29"/>
      <c r="C140" s="4"/>
      <c r="D140" s="212"/>
      <c r="E140" s="213"/>
      <c r="F140" s="213"/>
      <c r="G140" s="213"/>
      <c r="H140" s="214"/>
      <c r="I140" s="32" t="str">
        <f t="shared" si="5"/>
        <v/>
      </c>
      <c r="J140" s="32" t="str">
        <f t="shared" si="6"/>
        <v/>
      </c>
    </row>
    <row r="141" spans="2:10" ht="20.100000000000001" customHeight="1" x14ac:dyDescent="0.2">
      <c r="B141" s="29"/>
      <c r="C141" s="4"/>
      <c r="D141" s="212"/>
      <c r="E141" s="213"/>
      <c r="F141" s="213"/>
      <c r="G141" s="213"/>
      <c r="H141" s="214"/>
      <c r="I141" s="32" t="str">
        <f t="shared" si="5"/>
        <v/>
      </c>
      <c r="J141" s="32" t="str">
        <f t="shared" si="6"/>
        <v/>
      </c>
    </row>
    <row r="142" spans="2:10" ht="20.100000000000001" customHeight="1" x14ac:dyDescent="0.2">
      <c r="B142" s="29"/>
      <c r="C142" s="4"/>
      <c r="D142" s="212"/>
      <c r="E142" s="213"/>
      <c r="F142" s="213"/>
      <c r="G142" s="213"/>
      <c r="H142" s="214"/>
      <c r="I142" s="32" t="str">
        <f t="shared" si="5"/>
        <v/>
      </c>
      <c r="J142" s="32" t="str">
        <f t="shared" si="6"/>
        <v/>
      </c>
    </row>
    <row r="143" spans="2:10" ht="20.100000000000001" customHeight="1" x14ac:dyDescent="0.2">
      <c r="B143" s="29"/>
      <c r="C143" s="4"/>
      <c r="D143" s="212"/>
      <c r="E143" s="213"/>
      <c r="F143" s="213"/>
      <c r="G143" s="213"/>
      <c r="H143" s="214"/>
      <c r="I143" s="32" t="str">
        <f t="shared" si="5"/>
        <v/>
      </c>
      <c r="J143" s="32" t="str">
        <f t="shared" si="6"/>
        <v/>
      </c>
    </row>
    <row r="144" spans="2:10" ht="20.100000000000001" customHeight="1" x14ac:dyDescent="0.2">
      <c r="B144" s="29"/>
      <c r="C144" s="4"/>
      <c r="D144" s="212"/>
      <c r="E144" s="213"/>
      <c r="F144" s="213"/>
      <c r="G144" s="213"/>
      <c r="H144" s="214"/>
      <c r="I144" s="32" t="str">
        <f t="shared" si="5"/>
        <v/>
      </c>
      <c r="J144" s="32" t="str">
        <f t="shared" si="6"/>
        <v/>
      </c>
    </row>
    <row r="145" spans="2:10" ht="20.100000000000001" customHeight="1" x14ac:dyDescent="0.2">
      <c r="B145" s="29"/>
      <c r="C145" s="4"/>
      <c r="D145" s="212"/>
      <c r="E145" s="213"/>
      <c r="F145" s="213"/>
      <c r="G145" s="213"/>
      <c r="H145" s="214"/>
      <c r="I145" s="32" t="str">
        <f t="shared" si="5"/>
        <v/>
      </c>
      <c r="J145" s="32" t="str">
        <f t="shared" si="6"/>
        <v/>
      </c>
    </row>
    <row r="146" spans="2:10" ht="20.100000000000001" customHeight="1" x14ac:dyDescent="0.2">
      <c r="B146" s="29"/>
      <c r="C146" s="4"/>
      <c r="D146" s="212"/>
      <c r="E146" s="213"/>
      <c r="F146" s="213"/>
      <c r="G146" s="213"/>
      <c r="H146" s="214"/>
      <c r="I146" s="32" t="str">
        <f t="shared" si="5"/>
        <v/>
      </c>
      <c r="J146" s="32" t="str">
        <f t="shared" si="6"/>
        <v/>
      </c>
    </row>
    <row r="147" spans="2:10" ht="20.100000000000001" customHeight="1" x14ac:dyDescent="0.2">
      <c r="B147" s="29"/>
      <c r="C147" s="4"/>
      <c r="D147" s="212"/>
      <c r="E147" s="213"/>
      <c r="F147" s="213"/>
      <c r="G147" s="213"/>
      <c r="H147" s="214"/>
      <c r="I147" s="32" t="str">
        <f t="shared" si="5"/>
        <v/>
      </c>
      <c r="J147" s="32" t="str">
        <f t="shared" si="6"/>
        <v/>
      </c>
    </row>
    <row r="148" spans="2:10" ht="20.100000000000001" customHeight="1" x14ac:dyDescent="0.2">
      <c r="B148" s="29"/>
      <c r="C148" s="4"/>
      <c r="D148" s="212"/>
      <c r="E148" s="213"/>
      <c r="F148" s="213"/>
      <c r="G148" s="213"/>
      <c r="H148" s="214"/>
      <c r="I148" s="32" t="str">
        <f t="shared" si="5"/>
        <v/>
      </c>
      <c r="J148" s="32" t="str">
        <f t="shared" si="6"/>
        <v/>
      </c>
    </row>
    <row r="149" spans="2:10" ht="20.100000000000001" customHeight="1" x14ac:dyDescent="0.2">
      <c r="B149" s="29"/>
      <c r="C149" s="4"/>
      <c r="D149" s="212"/>
      <c r="E149" s="213"/>
      <c r="F149" s="213"/>
      <c r="G149" s="213"/>
      <c r="H149" s="214"/>
      <c r="I149" s="32" t="str">
        <f t="shared" si="5"/>
        <v/>
      </c>
      <c r="J149" s="32" t="str">
        <f t="shared" si="6"/>
        <v/>
      </c>
    </row>
    <row r="150" spans="2:10" ht="20.100000000000001" customHeight="1" x14ac:dyDescent="0.2">
      <c r="B150" s="29"/>
      <c r="C150" s="4"/>
      <c r="D150" s="212"/>
      <c r="E150" s="213"/>
      <c r="F150" s="213"/>
      <c r="G150" s="213"/>
      <c r="H150" s="214"/>
      <c r="I150" s="32" t="str">
        <f t="shared" si="5"/>
        <v/>
      </c>
      <c r="J150" s="32" t="str">
        <f t="shared" si="6"/>
        <v/>
      </c>
    </row>
    <row r="151" spans="2:10" ht="20.100000000000001" customHeight="1" x14ac:dyDescent="0.2">
      <c r="B151" s="29"/>
      <c r="C151" s="4"/>
      <c r="D151" s="212"/>
      <c r="E151" s="213"/>
      <c r="F151" s="213"/>
      <c r="G151" s="213"/>
      <c r="H151" s="214"/>
      <c r="I151" s="32" t="str">
        <f t="shared" si="5"/>
        <v/>
      </c>
      <c r="J151" s="32" t="str">
        <f t="shared" si="6"/>
        <v/>
      </c>
    </row>
    <row r="152" spans="2:10" ht="20.100000000000001" customHeight="1" x14ac:dyDescent="0.2">
      <c r="B152" s="29"/>
      <c r="C152" s="4"/>
      <c r="D152" s="212"/>
      <c r="E152" s="213"/>
      <c r="F152" s="213"/>
      <c r="G152" s="213"/>
      <c r="H152" s="214"/>
      <c r="I152" s="32" t="str">
        <f t="shared" si="5"/>
        <v/>
      </c>
      <c r="J152" s="32" t="str">
        <f t="shared" si="6"/>
        <v/>
      </c>
    </row>
    <row r="153" spans="2:10" ht="20.100000000000001" customHeight="1" x14ac:dyDescent="0.2">
      <c r="B153" s="29"/>
      <c r="C153" s="4"/>
      <c r="D153" s="212"/>
      <c r="E153" s="213"/>
      <c r="F153" s="213"/>
      <c r="G153" s="213"/>
      <c r="H153" s="214"/>
      <c r="I153" s="32" t="str">
        <f t="shared" si="5"/>
        <v/>
      </c>
      <c r="J153" s="32" t="str">
        <f t="shared" si="6"/>
        <v/>
      </c>
    </row>
    <row r="154" spans="2:10" ht="20.100000000000001" customHeight="1" x14ac:dyDescent="0.2">
      <c r="B154" s="29"/>
      <c r="C154" s="4"/>
      <c r="D154" s="212"/>
      <c r="E154" s="213"/>
      <c r="F154" s="213"/>
      <c r="G154" s="213"/>
      <c r="H154" s="214"/>
      <c r="I154" s="32" t="str">
        <f t="shared" si="5"/>
        <v/>
      </c>
      <c r="J154" s="32" t="str">
        <f t="shared" si="6"/>
        <v/>
      </c>
    </row>
    <row r="155" spans="2:10" ht="20.100000000000001" customHeight="1" x14ac:dyDescent="0.2">
      <c r="B155" s="29"/>
      <c r="C155" s="4"/>
      <c r="D155" s="212"/>
      <c r="E155" s="213"/>
      <c r="F155" s="213"/>
      <c r="G155" s="213"/>
      <c r="H155" s="214"/>
      <c r="I155" s="32" t="str">
        <f t="shared" si="5"/>
        <v/>
      </c>
      <c r="J155" s="32" t="str">
        <f t="shared" si="6"/>
        <v/>
      </c>
    </row>
    <row r="156" spans="2:10" ht="20.100000000000001" customHeight="1" x14ac:dyDescent="0.2">
      <c r="B156" s="29"/>
      <c r="C156" s="4"/>
      <c r="D156" s="212"/>
      <c r="E156" s="213"/>
      <c r="F156" s="213"/>
      <c r="G156" s="213"/>
      <c r="H156" s="214"/>
      <c r="I156" s="32" t="str">
        <f t="shared" si="5"/>
        <v/>
      </c>
      <c r="J156" s="32" t="str">
        <f t="shared" si="6"/>
        <v/>
      </c>
    </row>
    <row r="157" spans="2:10" ht="20.100000000000001" customHeight="1" x14ac:dyDescent="0.2">
      <c r="B157" s="29"/>
      <c r="C157" s="4"/>
      <c r="D157" s="212"/>
      <c r="E157" s="213"/>
      <c r="F157" s="213"/>
      <c r="G157" s="213"/>
      <c r="H157" s="214"/>
      <c r="I157" s="32" t="str">
        <f t="shared" si="5"/>
        <v/>
      </c>
      <c r="J157" s="32" t="str">
        <f t="shared" si="6"/>
        <v/>
      </c>
    </row>
    <row r="158" spans="2:10" ht="20.100000000000001" customHeight="1" x14ac:dyDescent="0.2">
      <c r="B158" s="29"/>
      <c r="C158" s="4"/>
      <c r="D158" s="212"/>
      <c r="E158" s="213"/>
      <c r="F158" s="213"/>
      <c r="G158" s="213"/>
      <c r="H158" s="214"/>
      <c r="I158" s="32" t="str">
        <f t="shared" si="5"/>
        <v/>
      </c>
      <c r="J158" s="32" t="str">
        <f t="shared" si="6"/>
        <v/>
      </c>
    </row>
    <row r="159" spans="2:10" ht="20.100000000000001" customHeight="1" x14ac:dyDescent="0.2">
      <c r="B159" s="29"/>
      <c r="C159" s="4"/>
      <c r="D159" s="212"/>
      <c r="E159" s="213"/>
      <c r="F159" s="213"/>
      <c r="G159" s="213"/>
      <c r="H159" s="214"/>
      <c r="I159" s="32" t="str">
        <f t="shared" si="5"/>
        <v/>
      </c>
      <c r="J159" s="32" t="str">
        <f t="shared" si="6"/>
        <v/>
      </c>
    </row>
    <row r="160" spans="2:10" ht="20.100000000000001" customHeight="1" x14ac:dyDescent="0.2">
      <c r="B160" s="29"/>
      <c r="C160" s="4"/>
      <c r="D160" s="212"/>
      <c r="E160" s="213"/>
      <c r="F160" s="213"/>
      <c r="G160" s="213"/>
      <c r="H160" s="214"/>
      <c r="I160" s="32" t="str">
        <f t="shared" si="5"/>
        <v/>
      </c>
      <c r="J160" s="32" t="str">
        <f t="shared" si="6"/>
        <v/>
      </c>
    </row>
    <row r="161" spans="2:10" ht="20.100000000000001" customHeight="1" x14ac:dyDescent="0.2">
      <c r="B161" s="29"/>
      <c r="C161" s="4"/>
      <c r="D161" s="212"/>
      <c r="E161" s="213"/>
      <c r="F161" s="213"/>
      <c r="G161" s="213"/>
      <c r="H161" s="214"/>
      <c r="I161" s="32" t="str">
        <f t="shared" si="5"/>
        <v/>
      </c>
      <c r="J161" s="32" t="str">
        <f t="shared" si="6"/>
        <v/>
      </c>
    </row>
    <row r="162" spans="2:10" ht="20.100000000000001" customHeight="1" x14ac:dyDescent="0.2">
      <c r="B162" s="29"/>
      <c r="C162" s="4"/>
      <c r="D162" s="212"/>
      <c r="E162" s="213"/>
      <c r="F162" s="213"/>
      <c r="G162" s="213"/>
      <c r="H162" s="214"/>
      <c r="I162" s="32" t="str">
        <f t="shared" si="5"/>
        <v/>
      </c>
      <c r="J162" s="32" t="str">
        <f t="shared" si="6"/>
        <v/>
      </c>
    </row>
    <row r="163" spans="2:10" ht="20.100000000000001" customHeight="1" x14ac:dyDescent="0.2">
      <c r="B163" s="29"/>
      <c r="C163" s="4"/>
      <c r="D163" s="212"/>
      <c r="E163" s="213"/>
      <c r="F163" s="213"/>
      <c r="G163" s="213"/>
      <c r="H163" s="214"/>
      <c r="I163" s="32" t="str">
        <f t="shared" si="5"/>
        <v/>
      </c>
      <c r="J163" s="32" t="str">
        <f t="shared" si="6"/>
        <v/>
      </c>
    </row>
    <row r="164" spans="2:10" ht="20.100000000000001" customHeight="1" x14ac:dyDescent="0.2">
      <c r="B164" s="29"/>
      <c r="C164" s="4"/>
      <c r="D164" s="212"/>
      <c r="E164" s="213"/>
      <c r="F164" s="213"/>
      <c r="G164" s="213"/>
      <c r="H164" s="214"/>
      <c r="I164" s="32" t="str">
        <f t="shared" si="5"/>
        <v/>
      </c>
      <c r="J164" s="32" t="str">
        <f t="shared" si="6"/>
        <v/>
      </c>
    </row>
    <row r="165" spans="2:10" ht="20.100000000000001" customHeight="1" x14ac:dyDescent="0.2">
      <c r="B165" s="29"/>
      <c r="C165" s="4"/>
      <c r="D165" s="212"/>
      <c r="E165" s="213"/>
      <c r="F165" s="213"/>
      <c r="G165" s="213"/>
      <c r="H165" s="214"/>
      <c r="I165" s="32" t="str">
        <f t="shared" si="5"/>
        <v/>
      </c>
      <c r="J165" s="32" t="str">
        <f t="shared" si="6"/>
        <v/>
      </c>
    </row>
    <row r="166" spans="2:10" ht="20.100000000000001" customHeight="1" x14ac:dyDescent="0.2">
      <c r="B166" s="29"/>
      <c r="C166" s="4"/>
      <c r="D166" s="212"/>
      <c r="E166" s="213"/>
      <c r="F166" s="213"/>
      <c r="G166" s="213"/>
      <c r="H166" s="214"/>
      <c r="I166" s="32" t="str">
        <f t="shared" si="5"/>
        <v/>
      </c>
      <c r="J166" s="32" t="str">
        <f t="shared" si="6"/>
        <v/>
      </c>
    </row>
    <row r="167" spans="2:10" ht="20.100000000000001" customHeight="1" x14ac:dyDescent="0.2">
      <c r="B167" s="29"/>
      <c r="C167" s="4"/>
      <c r="D167" s="212"/>
      <c r="E167" s="213"/>
      <c r="F167" s="213"/>
      <c r="G167" s="213"/>
      <c r="H167" s="214"/>
      <c r="I167" s="32" t="str">
        <f t="shared" si="5"/>
        <v/>
      </c>
      <c r="J167" s="32" t="str">
        <f t="shared" si="6"/>
        <v/>
      </c>
    </row>
    <row r="168" spans="2:10" ht="20.100000000000001" customHeight="1" x14ac:dyDescent="0.2">
      <c r="B168" s="29"/>
      <c r="C168" s="4"/>
      <c r="D168" s="212"/>
      <c r="E168" s="213"/>
      <c r="F168" s="213"/>
      <c r="G168" s="213"/>
      <c r="H168" s="214"/>
      <c r="I168" s="32" t="str">
        <f t="shared" si="5"/>
        <v/>
      </c>
      <c r="J168" s="32" t="str">
        <f t="shared" si="6"/>
        <v/>
      </c>
    </row>
    <row r="169" spans="2:10" ht="20.100000000000001" customHeight="1" x14ac:dyDescent="0.2">
      <c r="B169" s="29"/>
      <c r="C169" s="4"/>
      <c r="D169" s="212"/>
      <c r="E169" s="213"/>
      <c r="F169" s="213"/>
      <c r="G169" s="213"/>
      <c r="H169" s="214"/>
      <c r="I169" s="32" t="str">
        <f t="shared" si="5"/>
        <v/>
      </c>
      <c r="J169" s="32" t="str">
        <f t="shared" si="6"/>
        <v/>
      </c>
    </row>
    <row r="170" spans="2:10" ht="20.100000000000001" customHeight="1" x14ac:dyDescent="0.2">
      <c r="B170" s="29"/>
      <c r="C170" s="4"/>
      <c r="D170" s="212"/>
      <c r="E170" s="213"/>
      <c r="F170" s="213"/>
      <c r="G170" s="213"/>
      <c r="H170" s="214"/>
      <c r="I170" s="32" t="str">
        <f t="shared" si="5"/>
        <v/>
      </c>
      <c r="J170" s="32" t="str">
        <f t="shared" si="6"/>
        <v/>
      </c>
    </row>
    <row r="171" spans="2:10" ht="20.100000000000001" customHeight="1" x14ac:dyDescent="0.2">
      <c r="B171" s="29"/>
      <c r="C171" s="4"/>
      <c r="D171" s="212"/>
      <c r="E171" s="213"/>
      <c r="F171" s="213"/>
      <c r="G171" s="213"/>
      <c r="H171" s="214"/>
      <c r="I171" s="32" t="str">
        <f t="shared" si="5"/>
        <v/>
      </c>
      <c r="J171" s="32" t="str">
        <f t="shared" si="6"/>
        <v/>
      </c>
    </row>
    <row r="172" spans="2:10" ht="20.100000000000001" customHeight="1" x14ac:dyDescent="0.2">
      <c r="B172" s="29"/>
      <c r="C172" s="4"/>
      <c r="D172" s="212"/>
      <c r="E172" s="213"/>
      <c r="F172" s="213"/>
      <c r="G172" s="213"/>
      <c r="H172" s="214"/>
      <c r="I172" s="32" t="str">
        <f t="shared" si="5"/>
        <v/>
      </c>
      <c r="J172" s="32" t="str">
        <f t="shared" si="6"/>
        <v/>
      </c>
    </row>
    <row r="173" spans="2:10" ht="20.100000000000001" customHeight="1" x14ac:dyDescent="0.2">
      <c r="B173" s="29"/>
      <c r="C173" s="4"/>
      <c r="D173" s="212"/>
      <c r="E173" s="213"/>
      <c r="F173" s="213"/>
      <c r="G173" s="213"/>
      <c r="H173" s="214"/>
      <c r="I173" s="32" t="str">
        <f t="shared" si="5"/>
        <v/>
      </c>
      <c r="J173" s="32" t="str">
        <f t="shared" si="6"/>
        <v/>
      </c>
    </row>
    <row r="174" spans="2:10" ht="20.100000000000001" customHeight="1" x14ac:dyDescent="0.2">
      <c r="B174" s="29"/>
      <c r="C174" s="4"/>
      <c r="D174" s="212"/>
      <c r="E174" s="213"/>
      <c r="F174" s="213"/>
      <c r="G174" s="213"/>
      <c r="H174" s="214"/>
      <c r="I174" s="32" t="str">
        <f t="shared" si="5"/>
        <v/>
      </c>
      <c r="J174" s="32" t="str">
        <f t="shared" si="6"/>
        <v/>
      </c>
    </row>
    <row r="175" spans="2:10" ht="20.100000000000001" customHeight="1" x14ac:dyDescent="0.2">
      <c r="B175" s="29"/>
      <c r="C175" s="4"/>
      <c r="D175" s="212"/>
      <c r="E175" s="213"/>
      <c r="F175" s="213"/>
      <c r="G175" s="213"/>
      <c r="H175" s="214"/>
      <c r="I175" s="32" t="str">
        <f t="shared" si="5"/>
        <v/>
      </c>
      <c r="J175" s="32" t="str">
        <f t="shared" si="6"/>
        <v/>
      </c>
    </row>
    <row r="176" spans="2:10" ht="20.100000000000001" customHeight="1" x14ac:dyDescent="0.2">
      <c r="B176" s="29"/>
      <c r="C176" s="4"/>
      <c r="D176" s="212"/>
      <c r="E176" s="213"/>
      <c r="F176" s="213"/>
      <c r="G176" s="213"/>
      <c r="H176" s="214"/>
      <c r="I176" s="32" t="str">
        <f t="shared" si="5"/>
        <v/>
      </c>
      <c r="J176" s="32" t="str">
        <f t="shared" si="6"/>
        <v/>
      </c>
    </row>
    <row r="177" spans="2:10" ht="20.100000000000001" customHeight="1" x14ac:dyDescent="0.2">
      <c r="B177" s="29"/>
      <c r="C177" s="4"/>
      <c r="D177" s="212"/>
      <c r="E177" s="213"/>
      <c r="F177" s="213"/>
      <c r="G177" s="213"/>
      <c r="H177" s="214"/>
      <c r="I177" s="32" t="str">
        <f t="shared" si="5"/>
        <v/>
      </c>
      <c r="J177" s="32" t="str">
        <f t="shared" si="6"/>
        <v/>
      </c>
    </row>
    <row r="178" spans="2:10" ht="20.100000000000001" customHeight="1" x14ac:dyDescent="0.2">
      <c r="B178" s="29"/>
      <c r="C178" s="4"/>
      <c r="D178" s="212"/>
      <c r="E178" s="213"/>
      <c r="F178" s="213"/>
      <c r="G178" s="213"/>
      <c r="H178" s="214"/>
      <c r="I178" s="32" t="str">
        <f t="shared" si="5"/>
        <v/>
      </c>
      <c r="J178" s="32" t="str">
        <f t="shared" si="6"/>
        <v/>
      </c>
    </row>
    <row r="179" spans="2:10" ht="20.100000000000001" customHeight="1" x14ac:dyDescent="0.2">
      <c r="B179" s="29"/>
      <c r="C179" s="4"/>
      <c r="D179" s="212"/>
      <c r="E179" s="213"/>
      <c r="F179" s="213"/>
      <c r="G179" s="213"/>
      <c r="H179" s="214"/>
      <c r="I179" s="32" t="str">
        <f t="shared" si="5"/>
        <v/>
      </c>
      <c r="J179" s="32" t="str">
        <f t="shared" si="6"/>
        <v/>
      </c>
    </row>
    <row r="180" spans="2:10" ht="20.100000000000001" customHeight="1" x14ac:dyDescent="0.2">
      <c r="B180" s="29"/>
      <c r="C180" s="4"/>
      <c r="D180" s="212"/>
      <c r="E180" s="213"/>
      <c r="F180" s="213"/>
      <c r="G180" s="213"/>
      <c r="H180" s="214"/>
      <c r="I180" s="32" t="str">
        <f t="shared" si="5"/>
        <v/>
      </c>
      <c r="J180" s="32" t="str">
        <f t="shared" si="6"/>
        <v/>
      </c>
    </row>
    <row r="181" spans="2:10" ht="20.100000000000001" customHeight="1" x14ac:dyDescent="0.2">
      <c r="B181" s="29"/>
      <c r="C181" s="4"/>
      <c r="D181" s="212"/>
      <c r="E181" s="213"/>
      <c r="F181" s="213"/>
      <c r="G181" s="213"/>
      <c r="H181" s="214"/>
      <c r="I181" s="32" t="str">
        <f t="shared" si="5"/>
        <v/>
      </c>
      <c r="J181" s="32" t="str">
        <f t="shared" si="6"/>
        <v/>
      </c>
    </row>
    <row r="182" spans="2:10" ht="20.100000000000001" customHeight="1" x14ac:dyDescent="0.2">
      <c r="B182" s="29"/>
      <c r="C182" s="4"/>
      <c r="D182" s="212"/>
      <c r="E182" s="213"/>
      <c r="F182" s="213"/>
      <c r="G182" s="213"/>
      <c r="H182" s="214"/>
      <c r="I182" s="32" t="str">
        <f t="shared" si="5"/>
        <v/>
      </c>
      <c r="J182" s="32" t="str">
        <f t="shared" si="6"/>
        <v/>
      </c>
    </row>
    <row r="183" spans="2:10" ht="20.100000000000001" customHeight="1" x14ac:dyDescent="0.2">
      <c r="B183" s="29"/>
      <c r="C183" s="4"/>
      <c r="D183" s="212"/>
      <c r="E183" s="213"/>
      <c r="F183" s="213"/>
      <c r="G183" s="213"/>
      <c r="H183" s="214"/>
      <c r="I183" s="32" t="str">
        <f t="shared" si="5"/>
        <v/>
      </c>
      <c r="J183" s="32" t="str">
        <f t="shared" si="6"/>
        <v/>
      </c>
    </row>
    <row r="184" spans="2:10" ht="20.100000000000001" customHeight="1" x14ac:dyDescent="0.2">
      <c r="B184" s="29"/>
      <c r="C184" s="4"/>
      <c r="D184" s="212"/>
      <c r="E184" s="213"/>
      <c r="F184" s="213"/>
      <c r="G184" s="213"/>
      <c r="H184" s="214"/>
      <c r="I184" s="32" t="str">
        <f t="shared" si="5"/>
        <v/>
      </c>
      <c r="J184" s="32" t="str">
        <f t="shared" si="6"/>
        <v/>
      </c>
    </row>
    <row r="185" spans="2:10" ht="20.100000000000001" customHeight="1" x14ac:dyDescent="0.2">
      <c r="B185" s="29"/>
      <c r="C185" s="4"/>
      <c r="D185" s="212"/>
      <c r="E185" s="213"/>
      <c r="F185" s="213"/>
      <c r="G185" s="213"/>
      <c r="H185" s="214"/>
      <c r="I185" s="32" t="str">
        <f t="shared" si="5"/>
        <v/>
      </c>
      <c r="J185" s="32" t="str">
        <f t="shared" si="6"/>
        <v/>
      </c>
    </row>
    <row r="186" spans="2:10" ht="20.100000000000001" customHeight="1" x14ac:dyDescent="0.2">
      <c r="B186" s="29"/>
      <c r="C186" s="4"/>
      <c r="D186" s="212"/>
      <c r="E186" s="213"/>
      <c r="F186" s="213"/>
      <c r="G186" s="213"/>
      <c r="H186" s="214"/>
      <c r="I186" s="32" t="str">
        <f t="shared" si="5"/>
        <v/>
      </c>
      <c r="J186" s="32" t="str">
        <f t="shared" si="6"/>
        <v/>
      </c>
    </row>
    <row r="187" spans="2:10" ht="20.100000000000001" customHeight="1" x14ac:dyDescent="0.2">
      <c r="B187" s="29"/>
      <c r="C187" s="4"/>
      <c r="D187" s="212"/>
      <c r="E187" s="213"/>
      <c r="F187" s="213"/>
      <c r="G187" s="213"/>
      <c r="H187" s="214"/>
      <c r="I187" s="32" t="str">
        <f t="shared" si="5"/>
        <v/>
      </c>
      <c r="J187" s="32" t="str">
        <f t="shared" si="6"/>
        <v/>
      </c>
    </row>
    <row r="188" spans="2:10" ht="20.100000000000001" customHeight="1" x14ac:dyDescent="0.2">
      <c r="B188" s="29"/>
      <c r="C188" s="4"/>
      <c r="D188" s="212"/>
      <c r="E188" s="213"/>
      <c r="F188" s="213"/>
      <c r="G188" s="213"/>
      <c r="H188" s="214"/>
      <c r="I188" s="32" t="str">
        <f t="shared" si="5"/>
        <v/>
      </c>
      <c r="J188" s="32" t="str">
        <f t="shared" si="6"/>
        <v/>
      </c>
    </row>
    <row r="189" spans="2:10" ht="20.100000000000001" customHeight="1" x14ac:dyDescent="0.2">
      <c r="B189" s="29"/>
      <c r="C189" s="4"/>
      <c r="D189" s="212"/>
      <c r="E189" s="213"/>
      <c r="F189" s="213"/>
      <c r="G189" s="213"/>
      <c r="H189" s="214"/>
      <c r="I189" s="32" t="str">
        <f t="shared" si="5"/>
        <v/>
      </c>
      <c r="J189" s="32" t="str">
        <f t="shared" si="6"/>
        <v/>
      </c>
    </row>
    <row r="190" spans="2:10" ht="20.100000000000001" customHeight="1" x14ac:dyDescent="0.2">
      <c r="B190" s="29"/>
      <c r="C190" s="4"/>
      <c r="D190" s="212"/>
      <c r="E190" s="213"/>
      <c r="F190" s="213"/>
      <c r="G190" s="213"/>
      <c r="H190" s="214"/>
      <c r="I190" s="32" t="str">
        <f t="shared" si="5"/>
        <v/>
      </c>
      <c r="J190" s="32" t="str">
        <f t="shared" si="6"/>
        <v/>
      </c>
    </row>
    <row r="191" spans="2:10" ht="20.100000000000001" customHeight="1" x14ac:dyDescent="0.2">
      <c r="B191" s="29"/>
      <c r="C191" s="4"/>
      <c r="D191" s="212"/>
      <c r="E191" s="213"/>
      <c r="F191" s="213"/>
      <c r="G191" s="213"/>
      <c r="H191" s="214"/>
      <c r="I191" s="32" t="str">
        <f t="shared" si="5"/>
        <v/>
      </c>
      <c r="J191" s="32" t="str">
        <f t="shared" si="6"/>
        <v/>
      </c>
    </row>
    <row r="192" spans="2:10" ht="20.100000000000001" customHeight="1" x14ac:dyDescent="0.2">
      <c r="B192" s="29"/>
      <c r="C192" s="4"/>
      <c r="D192" s="212"/>
      <c r="E192" s="213"/>
      <c r="F192" s="213"/>
      <c r="G192" s="213"/>
      <c r="H192" s="214"/>
      <c r="I192" s="32" t="str">
        <f t="shared" si="5"/>
        <v/>
      </c>
      <c r="J192" s="32" t="str">
        <f t="shared" si="6"/>
        <v/>
      </c>
    </row>
    <row r="193" spans="2:10" ht="20.100000000000001" customHeight="1" x14ac:dyDescent="0.2">
      <c r="B193" s="29"/>
      <c r="C193" s="4"/>
      <c r="D193" s="212"/>
      <c r="E193" s="213"/>
      <c r="F193" s="213"/>
      <c r="G193" s="213"/>
      <c r="H193" s="214"/>
      <c r="I193" s="32" t="str">
        <f t="shared" si="5"/>
        <v/>
      </c>
      <c r="J193" s="32" t="str">
        <f t="shared" si="6"/>
        <v/>
      </c>
    </row>
    <row r="194" spans="2:10" ht="20.100000000000001" customHeight="1" x14ac:dyDescent="0.2">
      <c r="B194" s="29"/>
      <c r="C194" s="4"/>
      <c r="D194" s="212"/>
      <c r="E194" s="213"/>
      <c r="F194" s="213"/>
      <c r="G194" s="213"/>
      <c r="H194" s="214"/>
      <c r="I194" s="32" t="str">
        <f t="shared" si="5"/>
        <v/>
      </c>
      <c r="J194" s="32" t="str">
        <f t="shared" si="6"/>
        <v/>
      </c>
    </row>
    <row r="195" spans="2:10" ht="20.100000000000001" customHeight="1" x14ac:dyDescent="0.2">
      <c r="B195" s="29"/>
      <c r="C195" s="4"/>
      <c r="D195" s="212"/>
      <c r="E195" s="213"/>
      <c r="F195" s="213"/>
      <c r="G195" s="213"/>
      <c r="H195" s="214"/>
      <c r="I195" s="32" t="str">
        <f t="shared" si="5"/>
        <v/>
      </c>
      <c r="J195" s="32" t="str">
        <f t="shared" si="6"/>
        <v/>
      </c>
    </row>
    <row r="196" spans="2:10" ht="20.100000000000001" customHeight="1" x14ac:dyDescent="0.2">
      <c r="B196" s="29"/>
      <c r="C196" s="4"/>
      <c r="D196" s="212"/>
      <c r="E196" s="213"/>
      <c r="F196" s="213"/>
      <c r="G196" s="213"/>
      <c r="H196" s="214"/>
      <c r="I196" s="32" t="str">
        <f t="shared" si="5"/>
        <v/>
      </c>
      <c r="J196" s="32" t="str">
        <f t="shared" si="6"/>
        <v/>
      </c>
    </row>
    <row r="197" spans="2:10" ht="20.100000000000001" customHeight="1" x14ac:dyDescent="0.2">
      <c r="B197" s="29"/>
      <c r="C197" s="4"/>
      <c r="D197" s="212"/>
      <c r="E197" s="213"/>
      <c r="F197" s="213"/>
      <c r="G197" s="213"/>
      <c r="H197" s="214"/>
      <c r="I197" s="32" t="str">
        <f t="shared" ref="I197:I260" si="7">IFERROR(AVERAGE(INDEX($D:$H,ROW(),)),"")</f>
        <v/>
      </c>
      <c r="J197" s="32" t="str">
        <f t="shared" si="6"/>
        <v/>
      </c>
    </row>
    <row r="198" spans="2:10" ht="20.100000000000001" customHeight="1" x14ac:dyDescent="0.2">
      <c r="B198" s="29"/>
      <c r="C198" s="4"/>
      <c r="D198" s="212"/>
      <c r="E198" s="213"/>
      <c r="F198" s="213"/>
      <c r="G198" s="213"/>
      <c r="H198" s="214"/>
      <c r="I198" s="32" t="str">
        <f t="shared" si="7"/>
        <v/>
      </c>
      <c r="J198" s="32" t="str">
        <f t="shared" si="6"/>
        <v/>
      </c>
    </row>
    <row r="199" spans="2:10" ht="20.100000000000001" customHeight="1" x14ac:dyDescent="0.2">
      <c r="B199" s="29"/>
      <c r="C199" s="4"/>
      <c r="D199" s="212"/>
      <c r="E199" s="213"/>
      <c r="F199" s="213"/>
      <c r="G199" s="213"/>
      <c r="H199" s="214"/>
      <c r="I199" s="32" t="str">
        <f t="shared" si="7"/>
        <v/>
      </c>
      <c r="J199" s="32" t="str">
        <f t="shared" si="6"/>
        <v/>
      </c>
    </row>
    <row r="200" spans="2:10" ht="20.100000000000001" customHeight="1" x14ac:dyDescent="0.2">
      <c r="B200" s="29"/>
      <c r="C200" s="4"/>
      <c r="D200" s="212"/>
      <c r="E200" s="213"/>
      <c r="F200" s="213"/>
      <c r="G200" s="213"/>
      <c r="H200" s="214"/>
      <c r="I200" s="32" t="str">
        <f t="shared" si="7"/>
        <v/>
      </c>
      <c r="J200" s="32" t="str">
        <f t="shared" si="6"/>
        <v/>
      </c>
    </row>
    <row r="201" spans="2:10" ht="20.100000000000001" customHeight="1" x14ac:dyDescent="0.2">
      <c r="B201" s="29"/>
      <c r="C201" s="4"/>
      <c r="D201" s="212"/>
      <c r="E201" s="213"/>
      <c r="F201" s="213"/>
      <c r="G201" s="213"/>
      <c r="H201" s="214"/>
      <c r="I201" s="32" t="str">
        <f t="shared" si="7"/>
        <v/>
      </c>
      <c r="J201" s="32" t="str">
        <f t="shared" si="6"/>
        <v/>
      </c>
    </row>
    <row r="202" spans="2:10" ht="20.100000000000001" customHeight="1" x14ac:dyDescent="0.2">
      <c r="B202" s="29"/>
      <c r="C202" s="4"/>
      <c r="D202" s="212"/>
      <c r="E202" s="213"/>
      <c r="F202" s="213"/>
      <c r="G202" s="213"/>
      <c r="H202" s="214"/>
      <c r="I202" s="32" t="str">
        <f t="shared" si="7"/>
        <v/>
      </c>
      <c r="J202" s="32" t="str">
        <f t="shared" si="6"/>
        <v/>
      </c>
    </row>
    <row r="203" spans="2:10" ht="20.100000000000001" customHeight="1" x14ac:dyDescent="0.2">
      <c r="B203" s="29"/>
      <c r="C203" s="4"/>
      <c r="D203" s="212"/>
      <c r="E203" s="213"/>
      <c r="F203" s="213"/>
      <c r="G203" s="213"/>
      <c r="H203" s="214"/>
      <c r="I203" s="32" t="str">
        <f t="shared" si="7"/>
        <v/>
      </c>
      <c r="J203" s="32" t="str">
        <f t="shared" ref="J203:J266" si="8">IF(ISBLANK(INDEX(D:H,ROW(),1)),"",MIN(INDEX($D:$H,ROW(),)))</f>
        <v/>
      </c>
    </row>
    <row r="204" spans="2:10" ht="20.100000000000001" customHeight="1" x14ac:dyDescent="0.2">
      <c r="B204" s="29"/>
      <c r="C204" s="4"/>
      <c r="D204" s="212"/>
      <c r="E204" s="213"/>
      <c r="F204" s="213"/>
      <c r="G204" s="213"/>
      <c r="H204" s="214"/>
      <c r="I204" s="32" t="str">
        <f t="shared" si="7"/>
        <v/>
      </c>
      <c r="J204" s="32" t="str">
        <f t="shared" si="8"/>
        <v/>
      </c>
    </row>
    <row r="205" spans="2:10" ht="20.100000000000001" customHeight="1" x14ac:dyDescent="0.2">
      <c r="B205" s="29"/>
      <c r="C205" s="4"/>
      <c r="D205" s="212"/>
      <c r="E205" s="213"/>
      <c r="F205" s="213"/>
      <c r="G205" s="213"/>
      <c r="H205" s="214"/>
      <c r="I205" s="32" t="str">
        <f t="shared" si="7"/>
        <v/>
      </c>
      <c r="J205" s="32" t="str">
        <f t="shared" si="8"/>
        <v/>
      </c>
    </row>
    <row r="206" spans="2:10" ht="20.100000000000001" customHeight="1" x14ac:dyDescent="0.2">
      <c r="B206" s="29"/>
      <c r="C206" s="4"/>
      <c r="D206" s="212"/>
      <c r="E206" s="213"/>
      <c r="F206" s="213"/>
      <c r="G206" s="213"/>
      <c r="H206" s="214"/>
      <c r="I206" s="32" t="str">
        <f t="shared" si="7"/>
        <v/>
      </c>
      <c r="J206" s="32" t="str">
        <f t="shared" si="8"/>
        <v/>
      </c>
    </row>
    <row r="207" spans="2:10" ht="20.100000000000001" customHeight="1" x14ac:dyDescent="0.2">
      <c r="B207" s="29"/>
      <c r="C207" s="4"/>
      <c r="D207" s="212"/>
      <c r="E207" s="213"/>
      <c r="F207" s="213"/>
      <c r="G207" s="213"/>
      <c r="H207" s="214"/>
      <c r="I207" s="32" t="str">
        <f t="shared" si="7"/>
        <v/>
      </c>
      <c r="J207" s="32" t="str">
        <f t="shared" si="8"/>
        <v/>
      </c>
    </row>
    <row r="208" spans="2:10" ht="20.100000000000001" customHeight="1" x14ac:dyDescent="0.2">
      <c r="B208" s="29"/>
      <c r="C208" s="4"/>
      <c r="D208" s="212"/>
      <c r="E208" s="213"/>
      <c r="F208" s="213"/>
      <c r="G208" s="213"/>
      <c r="H208" s="214"/>
      <c r="I208" s="32" t="str">
        <f t="shared" si="7"/>
        <v/>
      </c>
      <c r="J208" s="32" t="str">
        <f t="shared" si="8"/>
        <v/>
      </c>
    </row>
    <row r="209" spans="2:10" ht="20.100000000000001" customHeight="1" x14ac:dyDescent="0.2">
      <c r="B209" s="29"/>
      <c r="C209" s="4"/>
      <c r="D209" s="212"/>
      <c r="E209" s="213"/>
      <c r="F209" s="213"/>
      <c r="G209" s="213"/>
      <c r="H209" s="214"/>
      <c r="I209" s="32" t="str">
        <f t="shared" si="7"/>
        <v/>
      </c>
      <c r="J209" s="32" t="str">
        <f t="shared" si="8"/>
        <v/>
      </c>
    </row>
    <row r="210" spans="2:10" ht="20.100000000000001" customHeight="1" x14ac:dyDescent="0.2">
      <c r="B210" s="29"/>
      <c r="C210" s="4"/>
      <c r="D210" s="212"/>
      <c r="E210" s="213"/>
      <c r="F210" s="213"/>
      <c r="G210" s="213"/>
      <c r="H210" s="214"/>
      <c r="I210" s="32" t="str">
        <f t="shared" si="7"/>
        <v/>
      </c>
      <c r="J210" s="32" t="str">
        <f t="shared" si="8"/>
        <v/>
      </c>
    </row>
    <row r="211" spans="2:10" ht="20.100000000000001" customHeight="1" x14ac:dyDescent="0.2">
      <c r="B211" s="29"/>
      <c r="C211" s="4"/>
      <c r="D211" s="212"/>
      <c r="E211" s="213"/>
      <c r="F211" s="213"/>
      <c r="G211" s="213"/>
      <c r="H211" s="214"/>
      <c r="I211" s="32" t="str">
        <f t="shared" si="7"/>
        <v/>
      </c>
      <c r="J211" s="32" t="str">
        <f t="shared" si="8"/>
        <v/>
      </c>
    </row>
    <row r="212" spans="2:10" ht="20.100000000000001" customHeight="1" x14ac:dyDescent="0.2">
      <c r="B212" s="29"/>
      <c r="C212" s="4"/>
      <c r="D212" s="212"/>
      <c r="E212" s="213"/>
      <c r="F212" s="213"/>
      <c r="G212" s="213"/>
      <c r="H212" s="214"/>
      <c r="I212" s="32" t="str">
        <f t="shared" si="7"/>
        <v/>
      </c>
      <c r="J212" s="32" t="str">
        <f t="shared" si="8"/>
        <v/>
      </c>
    </row>
    <row r="213" spans="2:10" ht="20.100000000000001" customHeight="1" x14ac:dyDescent="0.2">
      <c r="B213" s="29"/>
      <c r="C213" s="4"/>
      <c r="D213" s="212"/>
      <c r="E213" s="213"/>
      <c r="F213" s="213"/>
      <c r="G213" s="213"/>
      <c r="H213" s="214"/>
      <c r="I213" s="32" t="str">
        <f t="shared" si="7"/>
        <v/>
      </c>
      <c r="J213" s="32" t="str">
        <f t="shared" si="8"/>
        <v/>
      </c>
    </row>
    <row r="214" spans="2:10" ht="20.100000000000001" customHeight="1" x14ac:dyDescent="0.2">
      <c r="B214" s="29"/>
      <c r="C214" s="4"/>
      <c r="D214" s="212"/>
      <c r="E214" s="213"/>
      <c r="F214" s="213"/>
      <c r="G214" s="213"/>
      <c r="H214" s="214"/>
      <c r="I214" s="32" t="str">
        <f t="shared" si="7"/>
        <v/>
      </c>
      <c r="J214" s="32" t="str">
        <f t="shared" si="8"/>
        <v/>
      </c>
    </row>
    <row r="215" spans="2:10" ht="20.100000000000001" customHeight="1" x14ac:dyDescent="0.2">
      <c r="B215" s="29"/>
      <c r="C215" s="4"/>
      <c r="D215" s="212"/>
      <c r="E215" s="213"/>
      <c r="F215" s="213"/>
      <c r="G215" s="213"/>
      <c r="H215" s="214"/>
      <c r="I215" s="32" t="str">
        <f t="shared" si="7"/>
        <v/>
      </c>
      <c r="J215" s="32" t="str">
        <f t="shared" si="8"/>
        <v/>
      </c>
    </row>
    <row r="216" spans="2:10" ht="20.100000000000001" customHeight="1" x14ac:dyDescent="0.2">
      <c r="B216" s="29"/>
      <c r="C216" s="4"/>
      <c r="D216" s="212"/>
      <c r="E216" s="213"/>
      <c r="F216" s="213"/>
      <c r="G216" s="213"/>
      <c r="H216" s="214"/>
      <c r="I216" s="32" t="str">
        <f t="shared" si="7"/>
        <v/>
      </c>
      <c r="J216" s="32" t="str">
        <f t="shared" si="8"/>
        <v/>
      </c>
    </row>
    <row r="217" spans="2:10" ht="20.100000000000001" customHeight="1" x14ac:dyDescent="0.2">
      <c r="B217" s="29"/>
      <c r="C217" s="4"/>
      <c r="D217" s="212"/>
      <c r="E217" s="213"/>
      <c r="F217" s="213"/>
      <c r="G217" s="213"/>
      <c r="H217" s="214"/>
      <c r="I217" s="32" t="str">
        <f t="shared" si="7"/>
        <v/>
      </c>
      <c r="J217" s="32" t="str">
        <f t="shared" si="8"/>
        <v/>
      </c>
    </row>
    <row r="218" spans="2:10" ht="20.100000000000001" customHeight="1" x14ac:dyDescent="0.2">
      <c r="B218" s="29"/>
      <c r="C218" s="4"/>
      <c r="D218" s="212"/>
      <c r="E218" s="213"/>
      <c r="F218" s="213"/>
      <c r="G218" s="213"/>
      <c r="H218" s="214"/>
      <c r="I218" s="32" t="str">
        <f t="shared" si="7"/>
        <v/>
      </c>
      <c r="J218" s="32" t="str">
        <f t="shared" si="8"/>
        <v/>
      </c>
    </row>
    <row r="219" spans="2:10" ht="20.100000000000001" customHeight="1" x14ac:dyDescent="0.2">
      <c r="B219" s="29"/>
      <c r="C219" s="4"/>
      <c r="D219" s="212"/>
      <c r="E219" s="213"/>
      <c r="F219" s="213"/>
      <c r="G219" s="213"/>
      <c r="H219" s="214"/>
      <c r="I219" s="32" t="str">
        <f t="shared" si="7"/>
        <v/>
      </c>
      <c r="J219" s="32" t="str">
        <f t="shared" si="8"/>
        <v/>
      </c>
    </row>
    <row r="220" spans="2:10" ht="20.100000000000001" customHeight="1" x14ac:dyDescent="0.2">
      <c r="B220" s="29"/>
      <c r="C220" s="4"/>
      <c r="D220" s="212"/>
      <c r="E220" s="213"/>
      <c r="F220" s="213"/>
      <c r="G220" s="213"/>
      <c r="H220" s="214"/>
      <c r="I220" s="32" t="str">
        <f t="shared" si="7"/>
        <v/>
      </c>
      <c r="J220" s="32" t="str">
        <f t="shared" si="8"/>
        <v/>
      </c>
    </row>
    <row r="221" spans="2:10" ht="20.100000000000001" customHeight="1" x14ac:dyDescent="0.2">
      <c r="B221" s="29"/>
      <c r="C221" s="4"/>
      <c r="D221" s="212"/>
      <c r="E221" s="213"/>
      <c r="F221" s="213"/>
      <c r="G221" s="213"/>
      <c r="H221" s="214"/>
      <c r="I221" s="32" t="str">
        <f t="shared" si="7"/>
        <v/>
      </c>
      <c r="J221" s="32" t="str">
        <f t="shared" si="8"/>
        <v/>
      </c>
    </row>
    <row r="222" spans="2:10" ht="20.100000000000001" customHeight="1" x14ac:dyDescent="0.2">
      <c r="B222" s="29"/>
      <c r="C222" s="4"/>
      <c r="D222" s="212"/>
      <c r="E222" s="213"/>
      <c r="F222" s="213"/>
      <c r="G222" s="213"/>
      <c r="H222" s="214"/>
      <c r="I222" s="32" t="str">
        <f t="shared" si="7"/>
        <v/>
      </c>
      <c r="J222" s="32" t="str">
        <f t="shared" si="8"/>
        <v/>
      </c>
    </row>
    <row r="223" spans="2:10" ht="20.100000000000001" customHeight="1" x14ac:dyDescent="0.2">
      <c r="B223" s="29"/>
      <c r="C223" s="4"/>
      <c r="D223" s="212"/>
      <c r="E223" s="213"/>
      <c r="F223" s="213"/>
      <c r="G223" s="213"/>
      <c r="H223" s="214"/>
      <c r="I223" s="32" t="str">
        <f t="shared" si="7"/>
        <v/>
      </c>
      <c r="J223" s="32" t="str">
        <f t="shared" si="8"/>
        <v/>
      </c>
    </row>
    <row r="224" spans="2:10" ht="20.100000000000001" customHeight="1" x14ac:dyDescent="0.2">
      <c r="B224" s="29"/>
      <c r="C224" s="4"/>
      <c r="D224" s="212"/>
      <c r="E224" s="213"/>
      <c r="F224" s="213"/>
      <c r="G224" s="213"/>
      <c r="H224" s="214"/>
      <c r="I224" s="32" t="str">
        <f t="shared" si="7"/>
        <v/>
      </c>
      <c r="J224" s="32" t="str">
        <f t="shared" si="8"/>
        <v/>
      </c>
    </row>
    <row r="225" spans="2:10" ht="20.100000000000001" customHeight="1" x14ac:dyDescent="0.2">
      <c r="B225" s="29"/>
      <c r="C225" s="4"/>
      <c r="D225" s="212"/>
      <c r="E225" s="213"/>
      <c r="F225" s="213"/>
      <c r="G225" s="213"/>
      <c r="H225" s="214"/>
      <c r="I225" s="32" t="str">
        <f t="shared" si="7"/>
        <v/>
      </c>
      <c r="J225" s="32" t="str">
        <f t="shared" si="8"/>
        <v/>
      </c>
    </row>
    <row r="226" spans="2:10" ht="20.100000000000001" customHeight="1" x14ac:dyDescent="0.2">
      <c r="B226" s="29"/>
      <c r="C226" s="4"/>
      <c r="D226" s="212"/>
      <c r="E226" s="213"/>
      <c r="F226" s="213"/>
      <c r="G226" s="213"/>
      <c r="H226" s="214"/>
      <c r="I226" s="32" t="str">
        <f t="shared" si="7"/>
        <v/>
      </c>
      <c r="J226" s="32" t="str">
        <f t="shared" si="8"/>
        <v/>
      </c>
    </row>
    <row r="227" spans="2:10" ht="20.100000000000001" customHeight="1" x14ac:dyDescent="0.2">
      <c r="B227" s="29"/>
      <c r="C227" s="4"/>
      <c r="D227" s="212"/>
      <c r="E227" s="213"/>
      <c r="F227" s="213"/>
      <c r="G227" s="213"/>
      <c r="H227" s="214"/>
      <c r="I227" s="32" t="str">
        <f t="shared" si="7"/>
        <v/>
      </c>
      <c r="J227" s="32" t="str">
        <f t="shared" si="8"/>
        <v/>
      </c>
    </row>
    <row r="228" spans="2:10" ht="20.100000000000001" customHeight="1" x14ac:dyDescent="0.2">
      <c r="B228" s="29"/>
      <c r="C228" s="4"/>
      <c r="D228" s="212"/>
      <c r="E228" s="213"/>
      <c r="F228" s="213"/>
      <c r="G228" s="213"/>
      <c r="H228" s="214"/>
      <c r="I228" s="32" t="str">
        <f t="shared" si="7"/>
        <v/>
      </c>
      <c r="J228" s="32" t="str">
        <f t="shared" si="8"/>
        <v/>
      </c>
    </row>
    <row r="229" spans="2:10" ht="20.100000000000001" customHeight="1" x14ac:dyDescent="0.2">
      <c r="B229" s="29"/>
      <c r="C229" s="4"/>
      <c r="D229" s="212"/>
      <c r="E229" s="213"/>
      <c r="F229" s="213"/>
      <c r="G229" s="213"/>
      <c r="H229" s="214"/>
      <c r="I229" s="32" t="str">
        <f t="shared" si="7"/>
        <v/>
      </c>
      <c r="J229" s="32" t="str">
        <f t="shared" si="8"/>
        <v/>
      </c>
    </row>
    <row r="230" spans="2:10" ht="20.100000000000001" customHeight="1" x14ac:dyDescent="0.2">
      <c r="B230" s="29"/>
      <c r="C230" s="4"/>
      <c r="D230" s="212"/>
      <c r="E230" s="213"/>
      <c r="F230" s="213"/>
      <c r="G230" s="213"/>
      <c r="H230" s="214"/>
      <c r="I230" s="32" t="str">
        <f t="shared" si="7"/>
        <v/>
      </c>
      <c r="J230" s="32" t="str">
        <f t="shared" si="8"/>
        <v/>
      </c>
    </row>
    <row r="231" spans="2:10" ht="20.100000000000001" customHeight="1" x14ac:dyDescent="0.2">
      <c r="B231" s="29"/>
      <c r="C231" s="4"/>
      <c r="D231" s="212"/>
      <c r="E231" s="213"/>
      <c r="F231" s="213"/>
      <c r="G231" s="213"/>
      <c r="H231" s="214"/>
      <c r="I231" s="32" t="str">
        <f t="shared" si="7"/>
        <v/>
      </c>
      <c r="J231" s="32" t="str">
        <f t="shared" si="8"/>
        <v/>
      </c>
    </row>
    <row r="232" spans="2:10" ht="20.100000000000001" customHeight="1" x14ac:dyDescent="0.2">
      <c r="B232" s="29"/>
      <c r="C232" s="4"/>
      <c r="D232" s="212"/>
      <c r="E232" s="213"/>
      <c r="F232" s="213"/>
      <c r="G232" s="213"/>
      <c r="H232" s="214"/>
      <c r="I232" s="32" t="str">
        <f t="shared" si="7"/>
        <v/>
      </c>
      <c r="J232" s="32" t="str">
        <f t="shared" si="8"/>
        <v/>
      </c>
    </row>
    <row r="233" spans="2:10" ht="20.100000000000001" customHeight="1" x14ac:dyDescent="0.2">
      <c r="B233" s="29"/>
      <c r="C233" s="4"/>
      <c r="D233" s="212"/>
      <c r="E233" s="213"/>
      <c r="F233" s="213"/>
      <c r="G233" s="213"/>
      <c r="H233" s="214"/>
      <c r="I233" s="32" t="str">
        <f t="shared" si="7"/>
        <v/>
      </c>
      <c r="J233" s="32" t="str">
        <f t="shared" si="8"/>
        <v/>
      </c>
    </row>
    <row r="234" spans="2:10" ht="20.100000000000001" customHeight="1" x14ac:dyDescent="0.2">
      <c r="B234" s="29"/>
      <c r="C234" s="4"/>
      <c r="D234" s="212"/>
      <c r="E234" s="213"/>
      <c r="F234" s="213"/>
      <c r="G234" s="213"/>
      <c r="H234" s="214"/>
      <c r="I234" s="32" t="str">
        <f t="shared" si="7"/>
        <v/>
      </c>
      <c r="J234" s="32" t="str">
        <f t="shared" si="8"/>
        <v/>
      </c>
    </row>
    <row r="235" spans="2:10" ht="20.100000000000001" customHeight="1" x14ac:dyDescent="0.2">
      <c r="B235" s="29"/>
      <c r="C235" s="4"/>
      <c r="D235" s="212"/>
      <c r="E235" s="213"/>
      <c r="F235" s="213"/>
      <c r="G235" s="213"/>
      <c r="H235" s="214"/>
      <c r="I235" s="32" t="str">
        <f t="shared" si="7"/>
        <v/>
      </c>
      <c r="J235" s="32" t="str">
        <f t="shared" si="8"/>
        <v/>
      </c>
    </row>
    <row r="236" spans="2:10" ht="20.100000000000001" customHeight="1" x14ac:dyDescent="0.2">
      <c r="B236" s="29"/>
      <c r="C236" s="4"/>
      <c r="D236" s="212"/>
      <c r="E236" s="213"/>
      <c r="F236" s="213"/>
      <c r="G236" s="213"/>
      <c r="H236" s="214"/>
      <c r="I236" s="32" t="str">
        <f t="shared" si="7"/>
        <v/>
      </c>
      <c r="J236" s="32" t="str">
        <f t="shared" si="8"/>
        <v/>
      </c>
    </row>
    <row r="237" spans="2:10" ht="20.100000000000001" customHeight="1" x14ac:dyDescent="0.2">
      <c r="B237" s="29"/>
      <c r="C237" s="4"/>
      <c r="D237" s="212"/>
      <c r="E237" s="213"/>
      <c r="F237" s="213"/>
      <c r="G237" s="213"/>
      <c r="H237" s="214"/>
      <c r="I237" s="32" t="str">
        <f t="shared" si="7"/>
        <v/>
      </c>
      <c r="J237" s="32" t="str">
        <f t="shared" si="8"/>
        <v/>
      </c>
    </row>
    <row r="238" spans="2:10" ht="20.100000000000001" customHeight="1" x14ac:dyDescent="0.2">
      <c r="B238" s="29"/>
      <c r="C238" s="4"/>
      <c r="D238" s="212"/>
      <c r="E238" s="213"/>
      <c r="F238" s="213"/>
      <c r="G238" s="213"/>
      <c r="H238" s="214"/>
      <c r="I238" s="32" t="str">
        <f t="shared" si="7"/>
        <v/>
      </c>
      <c r="J238" s="32" t="str">
        <f t="shared" si="8"/>
        <v/>
      </c>
    </row>
    <row r="239" spans="2:10" ht="20.100000000000001" customHeight="1" x14ac:dyDescent="0.2">
      <c r="B239" s="29"/>
      <c r="C239" s="4"/>
      <c r="D239" s="212"/>
      <c r="E239" s="213"/>
      <c r="F239" s="213"/>
      <c r="G239" s="213"/>
      <c r="H239" s="214"/>
      <c r="I239" s="32" t="str">
        <f t="shared" si="7"/>
        <v/>
      </c>
      <c r="J239" s="32" t="str">
        <f t="shared" si="8"/>
        <v/>
      </c>
    </row>
    <row r="240" spans="2:10" ht="20.100000000000001" customHeight="1" x14ac:dyDescent="0.2">
      <c r="B240" s="29"/>
      <c r="C240" s="4"/>
      <c r="D240" s="212"/>
      <c r="E240" s="213"/>
      <c r="F240" s="213"/>
      <c r="G240" s="213"/>
      <c r="H240" s="214"/>
      <c r="I240" s="32" t="str">
        <f t="shared" si="7"/>
        <v/>
      </c>
      <c r="J240" s="32" t="str">
        <f t="shared" si="8"/>
        <v/>
      </c>
    </row>
    <row r="241" spans="2:10" ht="20.100000000000001" customHeight="1" x14ac:dyDescent="0.2">
      <c r="B241" s="29"/>
      <c r="C241" s="4"/>
      <c r="D241" s="212"/>
      <c r="E241" s="213"/>
      <c r="F241" s="213"/>
      <c r="G241" s="213"/>
      <c r="H241" s="214"/>
      <c r="I241" s="32" t="str">
        <f t="shared" si="7"/>
        <v/>
      </c>
      <c r="J241" s="32" t="str">
        <f t="shared" si="8"/>
        <v/>
      </c>
    </row>
    <row r="242" spans="2:10" ht="20.100000000000001" customHeight="1" x14ac:dyDescent="0.2">
      <c r="B242" s="29"/>
      <c r="C242" s="4"/>
      <c r="D242" s="212"/>
      <c r="E242" s="213"/>
      <c r="F242" s="213"/>
      <c r="G242" s="213"/>
      <c r="H242" s="214"/>
      <c r="I242" s="32" t="str">
        <f t="shared" si="7"/>
        <v/>
      </c>
      <c r="J242" s="32" t="str">
        <f t="shared" si="8"/>
        <v/>
      </c>
    </row>
    <row r="243" spans="2:10" ht="20.100000000000001" customHeight="1" x14ac:dyDescent="0.2">
      <c r="B243" s="29"/>
      <c r="C243" s="4"/>
      <c r="D243" s="212"/>
      <c r="E243" s="213"/>
      <c r="F243" s="213"/>
      <c r="G243" s="213"/>
      <c r="H243" s="214"/>
      <c r="I243" s="32" t="str">
        <f t="shared" si="7"/>
        <v/>
      </c>
      <c r="J243" s="32" t="str">
        <f t="shared" si="8"/>
        <v/>
      </c>
    </row>
    <row r="244" spans="2:10" ht="20.100000000000001" customHeight="1" x14ac:dyDescent="0.2">
      <c r="B244" s="29"/>
      <c r="C244" s="4"/>
      <c r="D244" s="212"/>
      <c r="E244" s="213"/>
      <c r="F244" s="213"/>
      <c r="G244" s="213"/>
      <c r="H244" s="214"/>
      <c r="I244" s="32" t="str">
        <f t="shared" si="7"/>
        <v/>
      </c>
      <c r="J244" s="32" t="str">
        <f t="shared" si="8"/>
        <v/>
      </c>
    </row>
    <row r="245" spans="2:10" ht="20.100000000000001" customHeight="1" x14ac:dyDescent="0.2">
      <c r="B245" s="29"/>
      <c r="C245" s="4"/>
      <c r="D245" s="212"/>
      <c r="E245" s="213"/>
      <c r="F245" s="213"/>
      <c r="G245" s="213"/>
      <c r="H245" s="214"/>
      <c r="I245" s="32" t="str">
        <f t="shared" si="7"/>
        <v/>
      </c>
      <c r="J245" s="32" t="str">
        <f t="shared" si="8"/>
        <v/>
      </c>
    </row>
    <row r="246" spans="2:10" ht="20.100000000000001" customHeight="1" x14ac:dyDescent="0.2">
      <c r="B246" s="29"/>
      <c r="C246" s="4"/>
      <c r="D246" s="212"/>
      <c r="E246" s="213"/>
      <c r="F246" s="213"/>
      <c r="G246" s="213"/>
      <c r="H246" s="214"/>
      <c r="I246" s="32" t="str">
        <f t="shared" si="7"/>
        <v/>
      </c>
      <c r="J246" s="32" t="str">
        <f t="shared" si="8"/>
        <v/>
      </c>
    </row>
    <row r="247" spans="2:10" ht="20.100000000000001" customHeight="1" x14ac:dyDescent="0.2">
      <c r="B247" s="29"/>
      <c r="C247" s="4"/>
      <c r="D247" s="212"/>
      <c r="E247" s="213"/>
      <c r="F247" s="213"/>
      <c r="G247" s="213"/>
      <c r="H247" s="214"/>
      <c r="I247" s="32" t="str">
        <f t="shared" si="7"/>
        <v/>
      </c>
      <c r="J247" s="32" t="str">
        <f t="shared" si="8"/>
        <v/>
      </c>
    </row>
    <row r="248" spans="2:10" ht="20.100000000000001" customHeight="1" x14ac:dyDescent="0.2">
      <c r="B248" s="29"/>
      <c r="C248" s="4"/>
      <c r="D248" s="212"/>
      <c r="E248" s="213"/>
      <c r="F248" s="213"/>
      <c r="G248" s="213"/>
      <c r="H248" s="214"/>
      <c r="I248" s="32" t="str">
        <f t="shared" si="7"/>
        <v/>
      </c>
      <c r="J248" s="32" t="str">
        <f t="shared" si="8"/>
        <v/>
      </c>
    </row>
    <row r="249" spans="2:10" ht="20.100000000000001" customHeight="1" x14ac:dyDescent="0.2">
      <c r="B249" s="29"/>
      <c r="C249" s="4"/>
      <c r="D249" s="212"/>
      <c r="E249" s="213"/>
      <c r="F249" s="213"/>
      <c r="G249" s="213"/>
      <c r="H249" s="214"/>
      <c r="I249" s="32" t="str">
        <f t="shared" si="7"/>
        <v/>
      </c>
      <c r="J249" s="32" t="str">
        <f t="shared" si="8"/>
        <v/>
      </c>
    </row>
    <row r="250" spans="2:10" ht="20.100000000000001" customHeight="1" x14ac:dyDescent="0.2">
      <c r="B250" s="29"/>
      <c r="C250" s="4"/>
      <c r="D250" s="212"/>
      <c r="E250" s="213"/>
      <c r="F250" s="213"/>
      <c r="G250" s="213"/>
      <c r="H250" s="214"/>
      <c r="I250" s="32" t="str">
        <f t="shared" si="7"/>
        <v/>
      </c>
      <c r="J250" s="32" t="str">
        <f t="shared" si="8"/>
        <v/>
      </c>
    </row>
    <row r="251" spans="2:10" ht="20.100000000000001" customHeight="1" x14ac:dyDescent="0.2">
      <c r="B251" s="29"/>
      <c r="C251" s="4"/>
      <c r="D251" s="212"/>
      <c r="E251" s="213"/>
      <c r="F251" s="213"/>
      <c r="G251" s="213"/>
      <c r="H251" s="214"/>
      <c r="I251" s="32" t="str">
        <f t="shared" si="7"/>
        <v/>
      </c>
      <c r="J251" s="32" t="str">
        <f t="shared" si="8"/>
        <v/>
      </c>
    </row>
    <row r="252" spans="2:10" ht="20.100000000000001" customHeight="1" x14ac:dyDescent="0.2">
      <c r="B252" s="29"/>
      <c r="C252" s="4"/>
      <c r="D252" s="212"/>
      <c r="E252" s="213"/>
      <c r="F252" s="213"/>
      <c r="G252" s="213"/>
      <c r="H252" s="214"/>
      <c r="I252" s="32" t="str">
        <f t="shared" si="7"/>
        <v/>
      </c>
      <c r="J252" s="32" t="str">
        <f t="shared" si="8"/>
        <v/>
      </c>
    </row>
    <row r="253" spans="2:10" ht="20.100000000000001" customHeight="1" x14ac:dyDescent="0.2">
      <c r="B253" s="29"/>
      <c r="C253" s="4"/>
      <c r="D253" s="212"/>
      <c r="E253" s="213"/>
      <c r="F253" s="213"/>
      <c r="G253" s="213"/>
      <c r="H253" s="214"/>
      <c r="I253" s="32" t="str">
        <f t="shared" si="7"/>
        <v/>
      </c>
      <c r="J253" s="32" t="str">
        <f t="shared" si="8"/>
        <v/>
      </c>
    </row>
    <row r="254" spans="2:10" ht="20.100000000000001" customHeight="1" x14ac:dyDescent="0.2">
      <c r="B254" s="29"/>
      <c r="C254" s="4"/>
      <c r="D254" s="212"/>
      <c r="E254" s="213"/>
      <c r="F254" s="213"/>
      <c r="G254" s="213"/>
      <c r="H254" s="214"/>
      <c r="I254" s="32" t="str">
        <f t="shared" si="7"/>
        <v/>
      </c>
      <c r="J254" s="32" t="str">
        <f t="shared" si="8"/>
        <v/>
      </c>
    </row>
    <row r="255" spans="2:10" ht="20.100000000000001" customHeight="1" x14ac:dyDescent="0.2">
      <c r="B255" s="29"/>
      <c r="C255" s="4"/>
      <c r="D255" s="212"/>
      <c r="E255" s="213"/>
      <c r="F255" s="213"/>
      <c r="G255" s="213"/>
      <c r="H255" s="214"/>
      <c r="I255" s="32" t="str">
        <f t="shared" si="7"/>
        <v/>
      </c>
      <c r="J255" s="32" t="str">
        <f t="shared" si="8"/>
        <v/>
      </c>
    </row>
    <row r="256" spans="2:10" ht="20.100000000000001" customHeight="1" x14ac:dyDescent="0.2">
      <c r="B256" s="29"/>
      <c r="C256" s="4"/>
      <c r="D256" s="212"/>
      <c r="E256" s="213"/>
      <c r="F256" s="213"/>
      <c r="G256" s="213"/>
      <c r="H256" s="214"/>
      <c r="I256" s="32" t="str">
        <f t="shared" si="7"/>
        <v/>
      </c>
      <c r="J256" s="32" t="str">
        <f t="shared" si="8"/>
        <v/>
      </c>
    </row>
    <row r="257" spans="2:10" ht="20.100000000000001" customHeight="1" x14ac:dyDescent="0.2">
      <c r="B257" s="29"/>
      <c r="C257" s="4"/>
      <c r="D257" s="212"/>
      <c r="E257" s="213"/>
      <c r="F257" s="213"/>
      <c r="G257" s="213"/>
      <c r="H257" s="214"/>
      <c r="I257" s="32" t="str">
        <f t="shared" si="7"/>
        <v/>
      </c>
      <c r="J257" s="32" t="str">
        <f t="shared" si="8"/>
        <v/>
      </c>
    </row>
    <row r="258" spans="2:10" ht="20.100000000000001" customHeight="1" x14ac:dyDescent="0.2">
      <c r="B258" s="29"/>
      <c r="C258" s="4"/>
      <c r="D258" s="212"/>
      <c r="E258" s="213"/>
      <c r="F258" s="213"/>
      <c r="G258" s="213"/>
      <c r="H258" s="214"/>
      <c r="I258" s="32" t="str">
        <f t="shared" si="7"/>
        <v/>
      </c>
      <c r="J258" s="32" t="str">
        <f t="shared" si="8"/>
        <v/>
      </c>
    </row>
    <row r="259" spans="2:10" ht="20.100000000000001" customHeight="1" x14ac:dyDescent="0.2">
      <c r="B259" s="29"/>
      <c r="C259" s="4"/>
      <c r="D259" s="212"/>
      <c r="E259" s="213"/>
      <c r="F259" s="213"/>
      <c r="G259" s="213"/>
      <c r="H259" s="214"/>
      <c r="I259" s="32" t="str">
        <f t="shared" si="7"/>
        <v/>
      </c>
      <c r="J259" s="32" t="str">
        <f t="shared" si="8"/>
        <v/>
      </c>
    </row>
    <row r="260" spans="2:10" ht="20.100000000000001" customHeight="1" x14ac:dyDescent="0.2">
      <c r="B260" s="29"/>
      <c r="C260" s="4"/>
      <c r="D260" s="212"/>
      <c r="E260" s="213"/>
      <c r="F260" s="213"/>
      <c r="G260" s="213"/>
      <c r="H260" s="214"/>
      <c r="I260" s="32" t="str">
        <f t="shared" si="7"/>
        <v/>
      </c>
      <c r="J260" s="32" t="str">
        <f t="shared" si="8"/>
        <v/>
      </c>
    </row>
    <row r="261" spans="2:10" ht="20.100000000000001" customHeight="1" x14ac:dyDescent="0.2">
      <c r="B261" s="29"/>
      <c r="C261" s="4"/>
      <c r="D261" s="212"/>
      <c r="E261" s="213"/>
      <c r="F261" s="213"/>
      <c r="G261" s="213"/>
      <c r="H261" s="214"/>
      <c r="I261" s="32" t="str">
        <f t="shared" ref="I261:I324" si="9">IFERROR(AVERAGE(INDEX($D:$H,ROW(),)),"")</f>
        <v/>
      </c>
      <c r="J261" s="32" t="str">
        <f t="shared" si="8"/>
        <v/>
      </c>
    </row>
    <row r="262" spans="2:10" ht="20.100000000000001" customHeight="1" x14ac:dyDescent="0.2">
      <c r="B262" s="29"/>
      <c r="C262" s="4"/>
      <c r="D262" s="212"/>
      <c r="E262" s="213"/>
      <c r="F262" s="213"/>
      <c r="G262" s="213"/>
      <c r="H262" s="214"/>
      <c r="I262" s="32" t="str">
        <f t="shared" si="9"/>
        <v/>
      </c>
      <c r="J262" s="32" t="str">
        <f t="shared" si="8"/>
        <v/>
      </c>
    </row>
    <row r="263" spans="2:10" ht="20.100000000000001" customHeight="1" x14ac:dyDescent="0.2">
      <c r="B263" s="29"/>
      <c r="C263" s="4"/>
      <c r="D263" s="212"/>
      <c r="E263" s="213"/>
      <c r="F263" s="213"/>
      <c r="G263" s="213"/>
      <c r="H263" s="214"/>
      <c r="I263" s="32" t="str">
        <f t="shared" si="9"/>
        <v/>
      </c>
      <c r="J263" s="32" t="str">
        <f t="shared" si="8"/>
        <v/>
      </c>
    </row>
    <row r="264" spans="2:10" ht="20.100000000000001" customHeight="1" x14ac:dyDescent="0.2">
      <c r="B264" s="29"/>
      <c r="C264" s="4"/>
      <c r="D264" s="212"/>
      <c r="E264" s="213"/>
      <c r="F264" s="213"/>
      <c r="G264" s="213"/>
      <c r="H264" s="214"/>
      <c r="I264" s="32" t="str">
        <f t="shared" si="9"/>
        <v/>
      </c>
      <c r="J264" s="32" t="str">
        <f t="shared" si="8"/>
        <v/>
      </c>
    </row>
    <row r="265" spans="2:10" ht="20.100000000000001" customHeight="1" x14ac:dyDescent="0.2">
      <c r="B265" s="29"/>
      <c r="C265" s="4"/>
      <c r="D265" s="212"/>
      <c r="E265" s="213"/>
      <c r="F265" s="213"/>
      <c r="G265" s="213"/>
      <c r="H265" s="214"/>
      <c r="I265" s="32" t="str">
        <f t="shared" si="9"/>
        <v/>
      </c>
      <c r="J265" s="32" t="str">
        <f t="shared" si="8"/>
        <v/>
      </c>
    </row>
    <row r="266" spans="2:10" ht="20.100000000000001" customHeight="1" x14ac:dyDescent="0.2">
      <c r="B266" s="29"/>
      <c r="C266" s="4"/>
      <c r="D266" s="212"/>
      <c r="E266" s="213"/>
      <c r="F266" s="213"/>
      <c r="G266" s="213"/>
      <c r="H266" s="214"/>
      <c r="I266" s="32" t="str">
        <f t="shared" si="9"/>
        <v/>
      </c>
      <c r="J266" s="32" t="str">
        <f t="shared" si="8"/>
        <v/>
      </c>
    </row>
    <row r="267" spans="2:10" ht="20.100000000000001" customHeight="1" x14ac:dyDescent="0.2">
      <c r="B267" s="29"/>
      <c r="C267" s="4"/>
      <c r="D267" s="212"/>
      <c r="E267" s="213"/>
      <c r="F267" s="213"/>
      <c r="G267" s="213"/>
      <c r="H267" s="214"/>
      <c r="I267" s="32" t="str">
        <f t="shared" si="9"/>
        <v/>
      </c>
      <c r="J267" s="32" t="str">
        <f t="shared" ref="J267:J330" si="10">IF(ISBLANK(INDEX(D:H,ROW(),1)),"",MIN(INDEX($D:$H,ROW(),)))</f>
        <v/>
      </c>
    </row>
    <row r="268" spans="2:10" ht="20.100000000000001" customHeight="1" x14ac:dyDescent="0.2">
      <c r="B268" s="29"/>
      <c r="C268" s="4"/>
      <c r="D268" s="212"/>
      <c r="E268" s="213"/>
      <c r="F268" s="213"/>
      <c r="G268" s="213"/>
      <c r="H268" s="214"/>
      <c r="I268" s="32" t="str">
        <f t="shared" si="9"/>
        <v/>
      </c>
      <c r="J268" s="32" t="str">
        <f t="shared" si="10"/>
        <v/>
      </c>
    </row>
    <row r="269" spans="2:10" ht="20.100000000000001" customHeight="1" x14ac:dyDescent="0.2">
      <c r="B269" s="29"/>
      <c r="C269" s="4"/>
      <c r="D269" s="212"/>
      <c r="E269" s="213"/>
      <c r="F269" s="213"/>
      <c r="G269" s="213"/>
      <c r="H269" s="214"/>
      <c r="I269" s="32" t="str">
        <f t="shared" si="9"/>
        <v/>
      </c>
      <c r="J269" s="32" t="str">
        <f t="shared" si="10"/>
        <v/>
      </c>
    </row>
    <row r="270" spans="2:10" ht="20.100000000000001" customHeight="1" x14ac:dyDescent="0.2">
      <c r="B270" s="29"/>
      <c r="C270" s="4"/>
      <c r="D270" s="212"/>
      <c r="E270" s="213"/>
      <c r="F270" s="213"/>
      <c r="G270" s="213"/>
      <c r="H270" s="214"/>
      <c r="I270" s="32" t="str">
        <f t="shared" si="9"/>
        <v/>
      </c>
      <c r="J270" s="32" t="str">
        <f t="shared" si="10"/>
        <v/>
      </c>
    </row>
    <row r="271" spans="2:10" ht="20.100000000000001" customHeight="1" x14ac:dyDescent="0.2">
      <c r="B271" s="29"/>
      <c r="C271" s="4"/>
      <c r="D271" s="212"/>
      <c r="E271" s="213"/>
      <c r="F271" s="213"/>
      <c r="G271" s="213"/>
      <c r="H271" s="214"/>
      <c r="I271" s="32" t="str">
        <f t="shared" si="9"/>
        <v/>
      </c>
      <c r="J271" s="32" t="str">
        <f t="shared" si="10"/>
        <v/>
      </c>
    </row>
    <row r="272" spans="2:10" ht="20.100000000000001" customHeight="1" x14ac:dyDescent="0.2">
      <c r="B272" s="29"/>
      <c r="C272" s="4"/>
      <c r="D272" s="212"/>
      <c r="E272" s="213"/>
      <c r="F272" s="213"/>
      <c r="G272" s="213"/>
      <c r="H272" s="214"/>
      <c r="I272" s="32" t="str">
        <f t="shared" si="9"/>
        <v/>
      </c>
      <c r="J272" s="32" t="str">
        <f t="shared" si="10"/>
        <v/>
      </c>
    </row>
    <row r="273" spans="2:10" ht="20.100000000000001" customHeight="1" x14ac:dyDescent="0.2">
      <c r="B273" s="29"/>
      <c r="C273" s="4"/>
      <c r="D273" s="212"/>
      <c r="E273" s="213"/>
      <c r="F273" s="213"/>
      <c r="G273" s="213"/>
      <c r="H273" s="214"/>
      <c r="I273" s="32" t="str">
        <f t="shared" si="9"/>
        <v/>
      </c>
      <c r="J273" s="32" t="str">
        <f t="shared" si="10"/>
        <v/>
      </c>
    </row>
    <row r="274" spans="2:10" ht="20.100000000000001" customHeight="1" x14ac:dyDescent="0.2">
      <c r="B274" s="29"/>
      <c r="C274" s="4"/>
      <c r="D274" s="212"/>
      <c r="E274" s="213"/>
      <c r="F274" s="213"/>
      <c r="G274" s="213"/>
      <c r="H274" s="214"/>
      <c r="I274" s="32" t="str">
        <f t="shared" si="9"/>
        <v/>
      </c>
      <c r="J274" s="32" t="str">
        <f t="shared" si="10"/>
        <v/>
      </c>
    </row>
    <row r="275" spans="2:10" ht="20.100000000000001" customHeight="1" x14ac:dyDescent="0.2">
      <c r="B275" s="29"/>
      <c r="C275" s="4"/>
      <c r="D275" s="212"/>
      <c r="E275" s="213"/>
      <c r="F275" s="213"/>
      <c r="G275" s="213"/>
      <c r="H275" s="214"/>
      <c r="I275" s="32" t="str">
        <f t="shared" si="9"/>
        <v/>
      </c>
      <c r="J275" s="32" t="str">
        <f t="shared" si="10"/>
        <v/>
      </c>
    </row>
    <row r="276" spans="2:10" ht="20.100000000000001" customHeight="1" x14ac:dyDescent="0.2">
      <c r="B276" s="29"/>
      <c r="C276" s="4"/>
      <c r="D276" s="212"/>
      <c r="E276" s="213"/>
      <c r="F276" s="213"/>
      <c r="G276" s="213"/>
      <c r="H276" s="214"/>
      <c r="I276" s="32" t="str">
        <f t="shared" si="9"/>
        <v/>
      </c>
      <c r="J276" s="32" t="str">
        <f t="shared" si="10"/>
        <v/>
      </c>
    </row>
    <row r="277" spans="2:10" ht="20.100000000000001" customHeight="1" x14ac:dyDescent="0.2">
      <c r="B277" s="29"/>
      <c r="C277" s="4"/>
      <c r="D277" s="212"/>
      <c r="E277" s="213"/>
      <c r="F277" s="213"/>
      <c r="G277" s="213"/>
      <c r="H277" s="214"/>
      <c r="I277" s="32" t="str">
        <f t="shared" si="9"/>
        <v/>
      </c>
      <c r="J277" s="32" t="str">
        <f t="shared" si="10"/>
        <v/>
      </c>
    </row>
    <row r="278" spans="2:10" ht="20.100000000000001" customHeight="1" x14ac:dyDescent="0.2">
      <c r="B278" s="29"/>
      <c r="C278" s="4"/>
      <c r="D278" s="212"/>
      <c r="E278" s="213"/>
      <c r="F278" s="213"/>
      <c r="G278" s="213"/>
      <c r="H278" s="214"/>
      <c r="I278" s="32" t="str">
        <f t="shared" si="9"/>
        <v/>
      </c>
      <c r="J278" s="32" t="str">
        <f t="shared" si="10"/>
        <v/>
      </c>
    </row>
    <row r="279" spans="2:10" ht="20.100000000000001" customHeight="1" x14ac:dyDescent="0.2">
      <c r="B279" s="29"/>
      <c r="C279" s="4"/>
      <c r="D279" s="212"/>
      <c r="E279" s="213"/>
      <c r="F279" s="213"/>
      <c r="G279" s="213"/>
      <c r="H279" s="214"/>
      <c r="I279" s="32" t="str">
        <f t="shared" si="9"/>
        <v/>
      </c>
      <c r="J279" s="32" t="str">
        <f t="shared" si="10"/>
        <v/>
      </c>
    </row>
    <row r="280" spans="2:10" ht="20.100000000000001" customHeight="1" x14ac:dyDescent="0.2">
      <c r="B280" s="29"/>
      <c r="C280" s="4"/>
      <c r="D280" s="212"/>
      <c r="E280" s="213"/>
      <c r="F280" s="213"/>
      <c r="G280" s="213"/>
      <c r="H280" s="214"/>
      <c r="I280" s="32" t="str">
        <f t="shared" si="9"/>
        <v/>
      </c>
      <c r="J280" s="32" t="str">
        <f t="shared" si="10"/>
        <v/>
      </c>
    </row>
    <row r="281" spans="2:10" ht="20.100000000000001" customHeight="1" x14ac:dyDescent="0.2">
      <c r="B281" s="29"/>
      <c r="C281" s="4"/>
      <c r="D281" s="212"/>
      <c r="E281" s="213"/>
      <c r="F281" s="213"/>
      <c r="G281" s="213"/>
      <c r="H281" s="214"/>
      <c r="I281" s="32" t="str">
        <f t="shared" si="9"/>
        <v/>
      </c>
      <c r="J281" s="32" t="str">
        <f t="shared" si="10"/>
        <v/>
      </c>
    </row>
    <row r="282" spans="2:10" ht="20.100000000000001" customHeight="1" x14ac:dyDescent="0.2">
      <c r="B282" s="29"/>
      <c r="C282" s="4"/>
      <c r="D282" s="212"/>
      <c r="E282" s="213"/>
      <c r="F282" s="213"/>
      <c r="G282" s="213"/>
      <c r="H282" s="214"/>
      <c r="I282" s="32" t="str">
        <f t="shared" si="9"/>
        <v/>
      </c>
      <c r="J282" s="32" t="str">
        <f t="shared" si="10"/>
        <v/>
      </c>
    </row>
    <row r="283" spans="2:10" ht="20.100000000000001" customHeight="1" x14ac:dyDescent="0.2">
      <c r="B283" s="29"/>
      <c r="C283" s="4"/>
      <c r="D283" s="212"/>
      <c r="E283" s="213"/>
      <c r="F283" s="213"/>
      <c r="G283" s="213"/>
      <c r="H283" s="214"/>
      <c r="I283" s="32" t="str">
        <f t="shared" si="9"/>
        <v/>
      </c>
      <c r="J283" s="32" t="str">
        <f t="shared" si="10"/>
        <v/>
      </c>
    </row>
    <row r="284" spans="2:10" ht="20.100000000000001" customHeight="1" x14ac:dyDescent="0.2">
      <c r="B284" s="29"/>
      <c r="C284" s="4"/>
      <c r="D284" s="212"/>
      <c r="E284" s="213"/>
      <c r="F284" s="213"/>
      <c r="G284" s="213"/>
      <c r="H284" s="214"/>
      <c r="I284" s="32" t="str">
        <f t="shared" si="9"/>
        <v/>
      </c>
      <c r="J284" s="32" t="str">
        <f t="shared" si="10"/>
        <v/>
      </c>
    </row>
    <row r="285" spans="2:10" ht="20.100000000000001" customHeight="1" x14ac:dyDescent="0.2">
      <c r="B285" s="29"/>
      <c r="C285" s="4"/>
      <c r="D285" s="212"/>
      <c r="E285" s="213"/>
      <c r="F285" s="213"/>
      <c r="G285" s="213"/>
      <c r="H285" s="214"/>
      <c r="I285" s="32" t="str">
        <f t="shared" si="9"/>
        <v/>
      </c>
      <c r="J285" s="32" t="str">
        <f t="shared" si="10"/>
        <v/>
      </c>
    </row>
    <row r="286" spans="2:10" ht="20.100000000000001" customHeight="1" x14ac:dyDescent="0.2">
      <c r="B286" s="29"/>
      <c r="C286" s="4"/>
      <c r="D286" s="212"/>
      <c r="E286" s="213"/>
      <c r="F286" s="213"/>
      <c r="G286" s="213"/>
      <c r="H286" s="214"/>
      <c r="I286" s="32" t="str">
        <f t="shared" si="9"/>
        <v/>
      </c>
      <c r="J286" s="32" t="str">
        <f t="shared" si="10"/>
        <v/>
      </c>
    </row>
    <row r="287" spans="2:10" ht="20.100000000000001" customHeight="1" x14ac:dyDescent="0.2">
      <c r="B287" s="29"/>
      <c r="C287" s="4"/>
      <c r="D287" s="212"/>
      <c r="E287" s="213"/>
      <c r="F287" s="213"/>
      <c r="G287" s="213"/>
      <c r="H287" s="214"/>
      <c r="I287" s="32" t="str">
        <f t="shared" si="9"/>
        <v/>
      </c>
      <c r="J287" s="32" t="str">
        <f t="shared" si="10"/>
        <v/>
      </c>
    </row>
    <row r="288" spans="2:10" ht="20.100000000000001" customHeight="1" x14ac:dyDescent="0.2">
      <c r="B288" s="29"/>
      <c r="C288" s="4"/>
      <c r="D288" s="212"/>
      <c r="E288" s="213"/>
      <c r="F288" s="213"/>
      <c r="G288" s="213"/>
      <c r="H288" s="214"/>
      <c r="I288" s="32" t="str">
        <f t="shared" si="9"/>
        <v/>
      </c>
      <c r="J288" s="32" t="str">
        <f t="shared" si="10"/>
        <v/>
      </c>
    </row>
    <row r="289" spans="2:10" ht="20.100000000000001" customHeight="1" x14ac:dyDescent="0.2">
      <c r="B289" s="29"/>
      <c r="C289" s="4"/>
      <c r="D289" s="212"/>
      <c r="E289" s="213"/>
      <c r="F289" s="213"/>
      <c r="G289" s="213"/>
      <c r="H289" s="214"/>
      <c r="I289" s="32" t="str">
        <f t="shared" si="9"/>
        <v/>
      </c>
      <c r="J289" s="32" t="str">
        <f t="shared" si="10"/>
        <v/>
      </c>
    </row>
    <row r="290" spans="2:10" ht="20.100000000000001" customHeight="1" x14ac:dyDescent="0.2">
      <c r="B290" s="29"/>
      <c r="C290" s="4"/>
      <c r="D290" s="212"/>
      <c r="E290" s="213"/>
      <c r="F290" s="213"/>
      <c r="G290" s="213"/>
      <c r="H290" s="214"/>
      <c r="I290" s="32" t="str">
        <f t="shared" si="9"/>
        <v/>
      </c>
      <c r="J290" s="32" t="str">
        <f t="shared" si="10"/>
        <v/>
      </c>
    </row>
    <row r="291" spans="2:10" ht="20.100000000000001" customHeight="1" x14ac:dyDescent="0.2">
      <c r="B291" s="29"/>
      <c r="C291" s="4"/>
      <c r="D291" s="212"/>
      <c r="E291" s="213"/>
      <c r="F291" s="213"/>
      <c r="G291" s="213"/>
      <c r="H291" s="214"/>
      <c r="I291" s="32" t="str">
        <f t="shared" si="9"/>
        <v/>
      </c>
      <c r="J291" s="32" t="str">
        <f t="shared" si="10"/>
        <v/>
      </c>
    </row>
    <row r="292" spans="2:10" ht="20.100000000000001" customHeight="1" x14ac:dyDescent="0.2">
      <c r="B292" s="29"/>
      <c r="C292" s="4"/>
      <c r="D292" s="212"/>
      <c r="E292" s="213"/>
      <c r="F292" s="213"/>
      <c r="G292" s="213"/>
      <c r="H292" s="214"/>
      <c r="I292" s="32" t="str">
        <f t="shared" si="9"/>
        <v/>
      </c>
      <c r="J292" s="32" t="str">
        <f t="shared" si="10"/>
        <v/>
      </c>
    </row>
    <row r="293" spans="2:10" ht="20.100000000000001" customHeight="1" x14ac:dyDescent="0.2">
      <c r="B293" s="29"/>
      <c r="C293" s="4"/>
      <c r="D293" s="212"/>
      <c r="E293" s="213"/>
      <c r="F293" s="213"/>
      <c r="G293" s="213"/>
      <c r="H293" s="214"/>
      <c r="I293" s="32" t="str">
        <f t="shared" si="9"/>
        <v/>
      </c>
      <c r="J293" s="32" t="str">
        <f t="shared" si="10"/>
        <v/>
      </c>
    </row>
    <row r="294" spans="2:10" ht="20.100000000000001" customHeight="1" x14ac:dyDescent="0.2">
      <c r="B294" s="29"/>
      <c r="C294" s="4"/>
      <c r="D294" s="212"/>
      <c r="E294" s="213"/>
      <c r="F294" s="213"/>
      <c r="G294" s="213"/>
      <c r="H294" s="214"/>
      <c r="I294" s="32" t="str">
        <f t="shared" si="9"/>
        <v/>
      </c>
      <c r="J294" s="32" t="str">
        <f t="shared" si="10"/>
        <v/>
      </c>
    </row>
    <row r="295" spans="2:10" ht="20.100000000000001" customHeight="1" x14ac:dyDescent="0.2">
      <c r="B295" s="29"/>
      <c r="C295" s="4"/>
      <c r="D295" s="212"/>
      <c r="E295" s="213"/>
      <c r="F295" s="213"/>
      <c r="G295" s="213"/>
      <c r="H295" s="214"/>
      <c r="I295" s="32" t="str">
        <f t="shared" si="9"/>
        <v/>
      </c>
      <c r="J295" s="32" t="str">
        <f t="shared" si="10"/>
        <v/>
      </c>
    </row>
    <row r="296" spans="2:10" ht="20.100000000000001" customHeight="1" x14ac:dyDescent="0.2">
      <c r="B296" s="29"/>
      <c r="C296" s="4"/>
      <c r="D296" s="212"/>
      <c r="E296" s="213"/>
      <c r="F296" s="213"/>
      <c r="G296" s="213"/>
      <c r="H296" s="214"/>
      <c r="I296" s="32" t="str">
        <f t="shared" si="9"/>
        <v/>
      </c>
      <c r="J296" s="32" t="str">
        <f t="shared" si="10"/>
        <v/>
      </c>
    </row>
    <row r="297" spans="2:10" ht="20.100000000000001" customHeight="1" x14ac:dyDescent="0.2">
      <c r="B297" s="29"/>
      <c r="C297" s="4"/>
      <c r="D297" s="212"/>
      <c r="E297" s="213"/>
      <c r="F297" s="213"/>
      <c r="G297" s="213"/>
      <c r="H297" s="214"/>
      <c r="I297" s="32" t="str">
        <f t="shared" si="9"/>
        <v/>
      </c>
      <c r="J297" s="32" t="str">
        <f t="shared" si="10"/>
        <v/>
      </c>
    </row>
    <row r="298" spans="2:10" ht="20.100000000000001" customHeight="1" x14ac:dyDescent="0.2">
      <c r="B298" s="29"/>
      <c r="C298" s="4"/>
      <c r="D298" s="212"/>
      <c r="E298" s="213"/>
      <c r="F298" s="213"/>
      <c r="G298" s="213"/>
      <c r="H298" s="214"/>
      <c r="I298" s="32" t="str">
        <f t="shared" si="9"/>
        <v/>
      </c>
      <c r="J298" s="32" t="str">
        <f t="shared" si="10"/>
        <v/>
      </c>
    </row>
    <row r="299" spans="2:10" ht="20.100000000000001" customHeight="1" x14ac:dyDescent="0.2">
      <c r="B299" s="29"/>
      <c r="C299" s="4"/>
      <c r="D299" s="212"/>
      <c r="E299" s="213"/>
      <c r="F299" s="213"/>
      <c r="G299" s="213"/>
      <c r="H299" s="214"/>
      <c r="I299" s="32" t="str">
        <f t="shared" si="9"/>
        <v/>
      </c>
      <c r="J299" s="32" t="str">
        <f t="shared" si="10"/>
        <v/>
      </c>
    </row>
    <row r="300" spans="2:10" ht="20.100000000000001" customHeight="1" x14ac:dyDescent="0.2">
      <c r="B300" s="29"/>
      <c r="C300" s="4"/>
      <c r="D300" s="212"/>
      <c r="E300" s="213"/>
      <c r="F300" s="213"/>
      <c r="G300" s="213"/>
      <c r="H300" s="214"/>
      <c r="I300" s="32" t="str">
        <f t="shared" si="9"/>
        <v/>
      </c>
      <c r="J300" s="32" t="str">
        <f t="shared" si="10"/>
        <v/>
      </c>
    </row>
    <row r="301" spans="2:10" ht="20.100000000000001" customHeight="1" x14ac:dyDescent="0.2">
      <c r="B301" s="29"/>
      <c r="C301" s="4"/>
      <c r="D301" s="212"/>
      <c r="E301" s="213"/>
      <c r="F301" s="213"/>
      <c r="G301" s="213"/>
      <c r="H301" s="214"/>
      <c r="I301" s="32" t="str">
        <f t="shared" si="9"/>
        <v/>
      </c>
      <c r="J301" s="32" t="str">
        <f t="shared" si="10"/>
        <v/>
      </c>
    </row>
    <row r="302" spans="2:10" ht="20.100000000000001" customHeight="1" x14ac:dyDescent="0.2">
      <c r="B302" s="29"/>
      <c r="C302" s="4"/>
      <c r="D302" s="212"/>
      <c r="E302" s="213"/>
      <c r="F302" s="213"/>
      <c r="G302" s="213"/>
      <c r="H302" s="214"/>
      <c r="I302" s="32" t="str">
        <f t="shared" si="9"/>
        <v/>
      </c>
      <c r="J302" s="32" t="str">
        <f t="shared" si="10"/>
        <v/>
      </c>
    </row>
    <row r="303" spans="2:10" ht="20.100000000000001" customHeight="1" x14ac:dyDescent="0.2">
      <c r="B303" s="29"/>
      <c r="C303" s="4"/>
      <c r="D303" s="212"/>
      <c r="E303" s="213"/>
      <c r="F303" s="213"/>
      <c r="G303" s="213"/>
      <c r="H303" s="214"/>
      <c r="I303" s="32" t="str">
        <f t="shared" si="9"/>
        <v/>
      </c>
      <c r="J303" s="32" t="str">
        <f t="shared" si="10"/>
        <v/>
      </c>
    </row>
    <row r="304" spans="2:10" ht="20.100000000000001" customHeight="1" x14ac:dyDescent="0.2">
      <c r="B304" s="29"/>
      <c r="C304" s="4"/>
      <c r="D304" s="212"/>
      <c r="E304" s="213"/>
      <c r="F304" s="213"/>
      <c r="G304" s="213"/>
      <c r="H304" s="214"/>
      <c r="I304" s="32" t="str">
        <f t="shared" si="9"/>
        <v/>
      </c>
      <c r="J304" s="32" t="str">
        <f t="shared" si="10"/>
        <v/>
      </c>
    </row>
    <row r="305" spans="2:10" ht="20.100000000000001" customHeight="1" x14ac:dyDescent="0.2">
      <c r="B305" s="29"/>
      <c r="C305" s="4"/>
      <c r="D305" s="212"/>
      <c r="E305" s="213"/>
      <c r="F305" s="213"/>
      <c r="G305" s="213"/>
      <c r="H305" s="214"/>
      <c r="I305" s="32" t="str">
        <f t="shared" si="9"/>
        <v/>
      </c>
      <c r="J305" s="32" t="str">
        <f t="shared" si="10"/>
        <v/>
      </c>
    </row>
    <row r="306" spans="2:10" ht="20.100000000000001" customHeight="1" x14ac:dyDescent="0.2">
      <c r="B306" s="29"/>
      <c r="C306" s="4"/>
      <c r="D306" s="212"/>
      <c r="E306" s="213"/>
      <c r="F306" s="213"/>
      <c r="G306" s="213"/>
      <c r="H306" s="214"/>
      <c r="I306" s="32" t="str">
        <f t="shared" si="9"/>
        <v/>
      </c>
      <c r="J306" s="32" t="str">
        <f t="shared" si="10"/>
        <v/>
      </c>
    </row>
    <row r="307" spans="2:10" ht="20.100000000000001" customHeight="1" x14ac:dyDescent="0.2">
      <c r="B307" s="29"/>
      <c r="C307" s="4"/>
      <c r="D307" s="212"/>
      <c r="E307" s="213"/>
      <c r="F307" s="213"/>
      <c r="G307" s="213"/>
      <c r="H307" s="214"/>
      <c r="I307" s="32" t="str">
        <f t="shared" si="9"/>
        <v/>
      </c>
      <c r="J307" s="32" t="str">
        <f t="shared" si="10"/>
        <v/>
      </c>
    </row>
    <row r="308" spans="2:10" ht="20.100000000000001" customHeight="1" x14ac:dyDescent="0.2">
      <c r="B308" s="29"/>
      <c r="C308" s="4"/>
      <c r="D308" s="212"/>
      <c r="E308" s="213"/>
      <c r="F308" s="213"/>
      <c r="G308" s="213"/>
      <c r="H308" s="214"/>
      <c r="I308" s="32" t="str">
        <f t="shared" si="9"/>
        <v/>
      </c>
      <c r="J308" s="32" t="str">
        <f t="shared" si="10"/>
        <v/>
      </c>
    </row>
    <row r="309" spans="2:10" ht="20.100000000000001" customHeight="1" x14ac:dyDescent="0.2">
      <c r="B309" s="29"/>
      <c r="C309" s="4"/>
      <c r="D309" s="212"/>
      <c r="E309" s="213"/>
      <c r="F309" s="213"/>
      <c r="G309" s="213"/>
      <c r="H309" s="214"/>
      <c r="I309" s="32" t="str">
        <f t="shared" si="9"/>
        <v/>
      </c>
      <c r="J309" s="32" t="str">
        <f t="shared" si="10"/>
        <v/>
      </c>
    </row>
    <row r="310" spans="2:10" ht="20.100000000000001" customHeight="1" x14ac:dyDescent="0.2">
      <c r="B310" s="29"/>
      <c r="C310" s="4"/>
      <c r="D310" s="212"/>
      <c r="E310" s="213"/>
      <c r="F310" s="213"/>
      <c r="G310" s="213"/>
      <c r="H310" s="214"/>
      <c r="I310" s="32" t="str">
        <f t="shared" si="9"/>
        <v/>
      </c>
      <c r="J310" s="32" t="str">
        <f t="shared" si="10"/>
        <v/>
      </c>
    </row>
    <row r="311" spans="2:10" ht="20.100000000000001" customHeight="1" x14ac:dyDescent="0.2">
      <c r="B311" s="29"/>
      <c r="C311" s="4"/>
      <c r="D311" s="212"/>
      <c r="E311" s="213"/>
      <c r="F311" s="213"/>
      <c r="G311" s="213"/>
      <c r="H311" s="214"/>
      <c r="I311" s="32" t="str">
        <f t="shared" si="9"/>
        <v/>
      </c>
      <c r="J311" s="32" t="str">
        <f t="shared" si="10"/>
        <v/>
      </c>
    </row>
    <row r="312" spans="2:10" ht="20.100000000000001" customHeight="1" x14ac:dyDescent="0.2">
      <c r="B312" s="29"/>
      <c r="C312" s="4"/>
      <c r="D312" s="212"/>
      <c r="E312" s="213"/>
      <c r="F312" s="213"/>
      <c r="G312" s="213"/>
      <c r="H312" s="214"/>
      <c r="I312" s="32" t="str">
        <f t="shared" si="9"/>
        <v/>
      </c>
      <c r="J312" s="32" t="str">
        <f t="shared" si="10"/>
        <v/>
      </c>
    </row>
    <row r="313" spans="2:10" ht="20.100000000000001" customHeight="1" x14ac:dyDescent="0.2">
      <c r="B313" s="29"/>
      <c r="C313" s="4"/>
      <c r="D313" s="212"/>
      <c r="E313" s="213"/>
      <c r="F313" s="213"/>
      <c r="G313" s="213"/>
      <c r="H313" s="214"/>
      <c r="I313" s="32" t="str">
        <f t="shared" si="9"/>
        <v/>
      </c>
      <c r="J313" s="32" t="str">
        <f t="shared" si="10"/>
        <v/>
      </c>
    </row>
    <row r="314" spans="2:10" ht="20.100000000000001" customHeight="1" x14ac:dyDescent="0.2">
      <c r="B314" s="29"/>
      <c r="C314" s="4"/>
      <c r="D314" s="212"/>
      <c r="E314" s="213"/>
      <c r="F314" s="213"/>
      <c r="G314" s="213"/>
      <c r="H314" s="214"/>
      <c r="I314" s="32" t="str">
        <f t="shared" si="9"/>
        <v/>
      </c>
      <c r="J314" s="32" t="str">
        <f t="shared" si="10"/>
        <v/>
      </c>
    </row>
    <row r="315" spans="2:10" ht="20.100000000000001" customHeight="1" x14ac:dyDescent="0.2">
      <c r="B315" s="29"/>
      <c r="C315" s="4"/>
      <c r="D315" s="212"/>
      <c r="E315" s="213"/>
      <c r="F315" s="213"/>
      <c r="G315" s="213"/>
      <c r="H315" s="214"/>
      <c r="I315" s="32" t="str">
        <f t="shared" si="9"/>
        <v/>
      </c>
      <c r="J315" s="32" t="str">
        <f t="shared" si="10"/>
        <v/>
      </c>
    </row>
    <row r="316" spans="2:10" ht="20.100000000000001" customHeight="1" x14ac:dyDescent="0.2">
      <c r="B316" s="29"/>
      <c r="C316" s="4"/>
      <c r="D316" s="212"/>
      <c r="E316" s="213"/>
      <c r="F316" s="213"/>
      <c r="G316" s="213"/>
      <c r="H316" s="214"/>
      <c r="I316" s="32" t="str">
        <f t="shared" si="9"/>
        <v/>
      </c>
      <c r="J316" s="32" t="str">
        <f t="shared" si="10"/>
        <v/>
      </c>
    </row>
    <row r="317" spans="2:10" ht="20.100000000000001" customHeight="1" x14ac:dyDescent="0.2">
      <c r="B317" s="29"/>
      <c r="C317" s="4"/>
      <c r="D317" s="212"/>
      <c r="E317" s="213"/>
      <c r="F317" s="213"/>
      <c r="G317" s="213"/>
      <c r="H317" s="214"/>
      <c r="I317" s="32" t="str">
        <f t="shared" si="9"/>
        <v/>
      </c>
      <c r="J317" s="32" t="str">
        <f t="shared" si="10"/>
        <v/>
      </c>
    </row>
    <row r="318" spans="2:10" ht="20.100000000000001" customHeight="1" x14ac:dyDescent="0.2">
      <c r="B318" s="29"/>
      <c r="C318" s="4"/>
      <c r="D318" s="212"/>
      <c r="E318" s="213"/>
      <c r="F318" s="213"/>
      <c r="G318" s="213"/>
      <c r="H318" s="214"/>
      <c r="I318" s="32" t="str">
        <f t="shared" si="9"/>
        <v/>
      </c>
      <c r="J318" s="32" t="str">
        <f t="shared" si="10"/>
        <v/>
      </c>
    </row>
    <row r="319" spans="2:10" ht="20.100000000000001" customHeight="1" x14ac:dyDescent="0.2">
      <c r="B319" s="29"/>
      <c r="C319" s="4"/>
      <c r="D319" s="212"/>
      <c r="E319" s="213"/>
      <c r="F319" s="213"/>
      <c r="G319" s="213"/>
      <c r="H319" s="214"/>
      <c r="I319" s="32" t="str">
        <f t="shared" si="9"/>
        <v/>
      </c>
      <c r="J319" s="32" t="str">
        <f t="shared" si="10"/>
        <v/>
      </c>
    </row>
    <row r="320" spans="2:10" ht="20.100000000000001" customHeight="1" x14ac:dyDescent="0.2">
      <c r="B320" s="29"/>
      <c r="C320" s="4"/>
      <c r="D320" s="212"/>
      <c r="E320" s="213"/>
      <c r="F320" s="213"/>
      <c r="G320" s="213"/>
      <c r="H320" s="214"/>
      <c r="I320" s="32" t="str">
        <f t="shared" si="9"/>
        <v/>
      </c>
      <c r="J320" s="32" t="str">
        <f t="shared" si="10"/>
        <v/>
      </c>
    </row>
    <row r="321" spans="2:10" ht="20.100000000000001" customHeight="1" x14ac:dyDescent="0.2">
      <c r="B321" s="29"/>
      <c r="C321" s="4"/>
      <c r="D321" s="212"/>
      <c r="E321" s="213"/>
      <c r="F321" s="213"/>
      <c r="G321" s="213"/>
      <c r="H321" s="214"/>
      <c r="I321" s="32" t="str">
        <f t="shared" si="9"/>
        <v/>
      </c>
      <c r="J321" s="32" t="str">
        <f t="shared" si="10"/>
        <v/>
      </c>
    </row>
    <row r="322" spans="2:10" ht="20.100000000000001" customHeight="1" x14ac:dyDescent="0.2">
      <c r="B322" s="29"/>
      <c r="C322" s="4"/>
      <c r="D322" s="212"/>
      <c r="E322" s="213"/>
      <c r="F322" s="213"/>
      <c r="G322" s="213"/>
      <c r="H322" s="214"/>
      <c r="I322" s="32" t="str">
        <f t="shared" si="9"/>
        <v/>
      </c>
      <c r="J322" s="32" t="str">
        <f t="shared" si="10"/>
        <v/>
      </c>
    </row>
    <row r="323" spans="2:10" ht="20.100000000000001" customHeight="1" x14ac:dyDescent="0.2">
      <c r="B323" s="29"/>
      <c r="C323" s="4"/>
      <c r="D323" s="212"/>
      <c r="E323" s="213"/>
      <c r="F323" s="213"/>
      <c r="G323" s="213"/>
      <c r="H323" s="214"/>
      <c r="I323" s="32" t="str">
        <f t="shared" si="9"/>
        <v/>
      </c>
      <c r="J323" s="32" t="str">
        <f t="shared" si="10"/>
        <v/>
      </c>
    </row>
    <row r="324" spans="2:10" ht="20.100000000000001" customHeight="1" x14ac:dyDescent="0.2">
      <c r="B324" s="29"/>
      <c r="C324" s="4"/>
      <c r="D324" s="212"/>
      <c r="E324" s="213"/>
      <c r="F324" s="213"/>
      <c r="G324" s="213"/>
      <c r="H324" s="214"/>
      <c r="I324" s="32" t="str">
        <f t="shared" si="9"/>
        <v/>
      </c>
      <c r="J324" s="32" t="str">
        <f t="shared" si="10"/>
        <v/>
      </c>
    </row>
    <row r="325" spans="2:10" ht="20.100000000000001" customHeight="1" x14ac:dyDescent="0.2">
      <c r="B325" s="29"/>
      <c r="C325" s="4"/>
      <c r="D325" s="212"/>
      <c r="E325" s="213"/>
      <c r="F325" s="213"/>
      <c r="G325" s="213"/>
      <c r="H325" s="214"/>
      <c r="I325" s="32" t="str">
        <f t="shared" ref="I325:I388" si="11">IFERROR(AVERAGE(INDEX($D:$H,ROW(),)),"")</f>
        <v/>
      </c>
      <c r="J325" s="32" t="str">
        <f t="shared" si="10"/>
        <v/>
      </c>
    </row>
    <row r="326" spans="2:10" ht="20.100000000000001" customHeight="1" x14ac:dyDescent="0.2">
      <c r="B326" s="29"/>
      <c r="C326" s="4"/>
      <c r="D326" s="212"/>
      <c r="E326" s="213"/>
      <c r="F326" s="213"/>
      <c r="G326" s="213"/>
      <c r="H326" s="214"/>
      <c r="I326" s="32" t="str">
        <f t="shared" si="11"/>
        <v/>
      </c>
      <c r="J326" s="32" t="str">
        <f t="shared" si="10"/>
        <v/>
      </c>
    </row>
    <row r="327" spans="2:10" ht="20.100000000000001" customHeight="1" x14ac:dyDescent="0.2">
      <c r="B327" s="29"/>
      <c r="C327" s="4"/>
      <c r="D327" s="212"/>
      <c r="E327" s="213"/>
      <c r="F327" s="213"/>
      <c r="G327" s="213"/>
      <c r="H327" s="214"/>
      <c r="I327" s="32" t="str">
        <f t="shared" si="11"/>
        <v/>
      </c>
      <c r="J327" s="32" t="str">
        <f t="shared" si="10"/>
        <v/>
      </c>
    </row>
    <row r="328" spans="2:10" ht="20.100000000000001" customHeight="1" x14ac:dyDescent="0.2">
      <c r="B328" s="29"/>
      <c r="C328" s="4"/>
      <c r="D328" s="212"/>
      <c r="E328" s="213"/>
      <c r="F328" s="213"/>
      <c r="G328" s="213"/>
      <c r="H328" s="214"/>
      <c r="I328" s="32" t="str">
        <f t="shared" si="11"/>
        <v/>
      </c>
      <c r="J328" s="32" t="str">
        <f t="shared" si="10"/>
        <v/>
      </c>
    </row>
    <row r="329" spans="2:10" ht="20.100000000000001" customHeight="1" x14ac:dyDescent="0.2">
      <c r="B329" s="29"/>
      <c r="C329" s="4"/>
      <c r="D329" s="212"/>
      <c r="E329" s="213"/>
      <c r="F329" s="213"/>
      <c r="G329" s="213"/>
      <c r="H329" s="214"/>
      <c r="I329" s="32" t="str">
        <f t="shared" si="11"/>
        <v/>
      </c>
      <c r="J329" s="32" t="str">
        <f t="shared" si="10"/>
        <v/>
      </c>
    </row>
    <row r="330" spans="2:10" ht="20.100000000000001" customHeight="1" x14ac:dyDescent="0.2">
      <c r="B330" s="29"/>
      <c r="C330" s="4"/>
      <c r="D330" s="212"/>
      <c r="E330" s="213"/>
      <c r="F330" s="213"/>
      <c r="G330" s="213"/>
      <c r="H330" s="214"/>
      <c r="I330" s="32" t="str">
        <f t="shared" si="11"/>
        <v/>
      </c>
      <c r="J330" s="32" t="str">
        <f t="shared" si="10"/>
        <v/>
      </c>
    </row>
    <row r="331" spans="2:10" ht="20.100000000000001" customHeight="1" x14ac:dyDescent="0.2">
      <c r="B331" s="29"/>
      <c r="C331" s="4"/>
      <c r="D331" s="212"/>
      <c r="E331" s="213"/>
      <c r="F331" s="213"/>
      <c r="G331" s="213"/>
      <c r="H331" s="214"/>
      <c r="I331" s="32" t="str">
        <f t="shared" si="11"/>
        <v/>
      </c>
      <c r="J331" s="32" t="str">
        <f t="shared" ref="J331:J394" si="12">IF(ISBLANK(INDEX(D:H,ROW(),1)),"",MIN(INDEX($D:$H,ROW(),)))</f>
        <v/>
      </c>
    </row>
    <row r="332" spans="2:10" ht="20.100000000000001" customHeight="1" x14ac:dyDescent="0.2">
      <c r="B332" s="29"/>
      <c r="C332" s="4"/>
      <c r="D332" s="212"/>
      <c r="E332" s="213"/>
      <c r="F332" s="213"/>
      <c r="G332" s="213"/>
      <c r="H332" s="214"/>
      <c r="I332" s="32" t="str">
        <f t="shared" si="11"/>
        <v/>
      </c>
      <c r="J332" s="32" t="str">
        <f t="shared" si="12"/>
        <v/>
      </c>
    </row>
    <row r="333" spans="2:10" ht="20.100000000000001" customHeight="1" x14ac:dyDescent="0.2">
      <c r="B333" s="29"/>
      <c r="C333" s="4"/>
      <c r="D333" s="212"/>
      <c r="E333" s="213"/>
      <c r="F333" s="213"/>
      <c r="G333" s="213"/>
      <c r="H333" s="214"/>
      <c r="I333" s="32" t="str">
        <f t="shared" si="11"/>
        <v/>
      </c>
      <c r="J333" s="32" t="str">
        <f t="shared" si="12"/>
        <v/>
      </c>
    </row>
    <row r="334" spans="2:10" ht="20.100000000000001" customHeight="1" x14ac:dyDescent="0.2">
      <c r="B334" s="29"/>
      <c r="C334" s="4"/>
      <c r="D334" s="212"/>
      <c r="E334" s="213"/>
      <c r="F334" s="213"/>
      <c r="G334" s="213"/>
      <c r="H334" s="214"/>
      <c r="I334" s="32" t="str">
        <f t="shared" si="11"/>
        <v/>
      </c>
      <c r="J334" s="32" t="str">
        <f t="shared" si="12"/>
        <v/>
      </c>
    </row>
    <row r="335" spans="2:10" ht="20.100000000000001" customHeight="1" x14ac:dyDescent="0.2">
      <c r="B335" s="29"/>
      <c r="C335" s="4"/>
      <c r="D335" s="212"/>
      <c r="E335" s="213"/>
      <c r="F335" s="213"/>
      <c r="G335" s="213"/>
      <c r="H335" s="214"/>
      <c r="I335" s="32" t="str">
        <f t="shared" si="11"/>
        <v/>
      </c>
      <c r="J335" s="32" t="str">
        <f t="shared" si="12"/>
        <v/>
      </c>
    </row>
    <row r="336" spans="2:10" ht="20.100000000000001" customHeight="1" x14ac:dyDescent="0.2">
      <c r="B336" s="29"/>
      <c r="C336" s="4"/>
      <c r="D336" s="212"/>
      <c r="E336" s="213"/>
      <c r="F336" s="213"/>
      <c r="G336" s="213"/>
      <c r="H336" s="214"/>
      <c r="I336" s="32" t="str">
        <f t="shared" si="11"/>
        <v/>
      </c>
      <c r="J336" s="32" t="str">
        <f t="shared" si="12"/>
        <v/>
      </c>
    </row>
    <row r="337" spans="2:10" ht="20.100000000000001" customHeight="1" x14ac:dyDescent="0.2">
      <c r="B337" s="29"/>
      <c r="C337" s="4"/>
      <c r="D337" s="212"/>
      <c r="E337" s="213"/>
      <c r="F337" s="213"/>
      <c r="G337" s="213"/>
      <c r="H337" s="214"/>
      <c r="I337" s="32" t="str">
        <f t="shared" si="11"/>
        <v/>
      </c>
      <c r="J337" s="32" t="str">
        <f t="shared" si="12"/>
        <v/>
      </c>
    </row>
    <row r="338" spans="2:10" ht="20.100000000000001" customHeight="1" x14ac:dyDescent="0.2">
      <c r="B338" s="29"/>
      <c r="C338" s="4"/>
      <c r="D338" s="212"/>
      <c r="E338" s="213"/>
      <c r="F338" s="213"/>
      <c r="G338" s="213"/>
      <c r="H338" s="214"/>
      <c r="I338" s="32" t="str">
        <f t="shared" si="11"/>
        <v/>
      </c>
      <c r="J338" s="32" t="str">
        <f t="shared" si="12"/>
        <v/>
      </c>
    </row>
    <row r="339" spans="2:10" ht="20.100000000000001" customHeight="1" x14ac:dyDescent="0.2">
      <c r="B339" s="29"/>
      <c r="C339" s="4"/>
      <c r="D339" s="212"/>
      <c r="E339" s="213"/>
      <c r="F339" s="213"/>
      <c r="G339" s="213"/>
      <c r="H339" s="214"/>
      <c r="I339" s="32" t="str">
        <f t="shared" si="11"/>
        <v/>
      </c>
      <c r="J339" s="32" t="str">
        <f t="shared" si="12"/>
        <v/>
      </c>
    </row>
    <row r="340" spans="2:10" ht="20.100000000000001" customHeight="1" x14ac:dyDescent="0.2">
      <c r="B340" s="29"/>
      <c r="C340" s="4"/>
      <c r="D340" s="212"/>
      <c r="E340" s="213"/>
      <c r="F340" s="213"/>
      <c r="G340" s="213"/>
      <c r="H340" s="214"/>
      <c r="I340" s="32" t="str">
        <f t="shared" si="11"/>
        <v/>
      </c>
      <c r="J340" s="32" t="str">
        <f t="shared" si="12"/>
        <v/>
      </c>
    </row>
    <row r="341" spans="2:10" ht="20.100000000000001" customHeight="1" x14ac:dyDescent="0.2">
      <c r="B341" s="29"/>
      <c r="C341" s="4"/>
      <c r="D341" s="212"/>
      <c r="E341" s="213"/>
      <c r="F341" s="213"/>
      <c r="G341" s="213"/>
      <c r="H341" s="214"/>
      <c r="I341" s="32" t="str">
        <f t="shared" si="11"/>
        <v/>
      </c>
      <c r="J341" s="32" t="str">
        <f t="shared" si="12"/>
        <v/>
      </c>
    </row>
    <row r="342" spans="2:10" ht="20.100000000000001" customHeight="1" x14ac:dyDescent="0.2">
      <c r="B342" s="29"/>
      <c r="C342" s="4"/>
      <c r="D342" s="212"/>
      <c r="E342" s="213"/>
      <c r="F342" s="213"/>
      <c r="G342" s="213"/>
      <c r="H342" s="214"/>
      <c r="I342" s="32" t="str">
        <f t="shared" si="11"/>
        <v/>
      </c>
      <c r="J342" s="32" t="str">
        <f t="shared" si="12"/>
        <v/>
      </c>
    </row>
    <row r="343" spans="2:10" ht="20.100000000000001" customHeight="1" x14ac:dyDescent="0.2">
      <c r="B343" s="29"/>
      <c r="C343" s="4"/>
      <c r="D343" s="212"/>
      <c r="E343" s="213"/>
      <c r="F343" s="213"/>
      <c r="G343" s="213"/>
      <c r="H343" s="214"/>
      <c r="I343" s="32" t="str">
        <f t="shared" si="11"/>
        <v/>
      </c>
      <c r="J343" s="32" t="str">
        <f t="shared" si="12"/>
        <v/>
      </c>
    </row>
    <row r="344" spans="2:10" ht="20.100000000000001" customHeight="1" x14ac:dyDescent="0.2">
      <c r="B344" s="29"/>
      <c r="C344" s="4"/>
      <c r="D344" s="212"/>
      <c r="E344" s="213"/>
      <c r="F344" s="213"/>
      <c r="G344" s="213"/>
      <c r="H344" s="214"/>
      <c r="I344" s="32" t="str">
        <f t="shared" si="11"/>
        <v/>
      </c>
      <c r="J344" s="32" t="str">
        <f t="shared" si="12"/>
        <v/>
      </c>
    </row>
    <row r="345" spans="2:10" ht="20.100000000000001" customHeight="1" x14ac:dyDescent="0.2">
      <c r="B345" s="29"/>
      <c r="C345" s="4"/>
      <c r="D345" s="212"/>
      <c r="E345" s="213"/>
      <c r="F345" s="213"/>
      <c r="G345" s="213"/>
      <c r="H345" s="214"/>
      <c r="I345" s="32" t="str">
        <f t="shared" si="11"/>
        <v/>
      </c>
      <c r="J345" s="32" t="str">
        <f t="shared" si="12"/>
        <v/>
      </c>
    </row>
    <row r="346" spans="2:10" ht="20.100000000000001" customHeight="1" x14ac:dyDescent="0.2">
      <c r="B346" s="29"/>
      <c r="C346" s="4"/>
      <c r="D346" s="212"/>
      <c r="E346" s="213"/>
      <c r="F346" s="213"/>
      <c r="G346" s="213"/>
      <c r="H346" s="214"/>
      <c r="I346" s="32" t="str">
        <f t="shared" si="11"/>
        <v/>
      </c>
      <c r="J346" s="32" t="str">
        <f t="shared" si="12"/>
        <v/>
      </c>
    </row>
    <row r="347" spans="2:10" ht="20.100000000000001" customHeight="1" x14ac:dyDescent="0.2">
      <c r="B347" s="29"/>
      <c r="C347" s="4"/>
      <c r="D347" s="212"/>
      <c r="E347" s="213"/>
      <c r="F347" s="213"/>
      <c r="G347" s="213"/>
      <c r="H347" s="214"/>
      <c r="I347" s="32" t="str">
        <f t="shared" si="11"/>
        <v/>
      </c>
      <c r="J347" s="32" t="str">
        <f t="shared" si="12"/>
        <v/>
      </c>
    </row>
    <row r="348" spans="2:10" ht="20.100000000000001" customHeight="1" x14ac:dyDescent="0.2">
      <c r="B348" s="29"/>
      <c r="C348" s="4"/>
      <c r="D348" s="212"/>
      <c r="E348" s="213"/>
      <c r="F348" s="213"/>
      <c r="G348" s="213"/>
      <c r="H348" s="214"/>
      <c r="I348" s="32" t="str">
        <f t="shared" si="11"/>
        <v/>
      </c>
      <c r="J348" s="32" t="str">
        <f t="shared" si="12"/>
        <v/>
      </c>
    </row>
    <row r="349" spans="2:10" ht="20.100000000000001" customHeight="1" x14ac:dyDescent="0.2">
      <c r="B349" s="29"/>
      <c r="C349" s="4"/>
      <c r="D349" s="212"/>
      <c r="E349" s="213"/>
      <c r="F349" s="213"/>
      <c r="G349" s="213"/>
      <c r="H349" s="214"/>
      <c r="I349" s="32" t="str">
        <f t="shared" si="11"/>
        <v/>
      </c>
      <c r="J349" s="32" t="str">
        <f t="shared" si="12"/>
        <v/>
      </c>
    </row>
    <row r="350" spans="2:10" ht="20.100000000000001" customHeight="1" x14ac:dyDescent="0.2">
      <c r="B350" s="29"/>
      <c r="C350" s="4"/>
      <c r="D350" s="212"/>
      <c r="E350" s="213"/>
      <c r="F350" s="213"/>
      <c r="G350" s="213"/>
      <c r="H350" s="214"/>
      <c r="I350" s="32" t="str">
        <f t="shared" si="11"/>
        <v/>
      </c>
      <c r="J350" s="32" t="str">
        <f t="shared" si="12"/>
        <v/>
      </c>
    </row>
    <row r="351" spans="2:10" ht="20.100000000000001" customHeight="1" x14ac:dyDescent="0.2">
      <c r="B351" s="29"/>
      <c r="C351" s="4"/>
      <c r="D351" s="212"/>
      <c r="E351" s="213"/>
      <c r="F351" s="213"/>
      <c r="G351" s="213"/>
      <c r="H351" s="214"/>
      <c r="I351" s="32" t="str">
        <f t="shared" si="11"/>
        <v/>
      </c>
      <c r="J351" s="32" t="str">
        <f t="shared" si="12"/>
        <v/>
      </c>
    </row>
    <row r="352" spans="2:10" ht="20.100000000000001" customHeight="1" x14ac:dyDescent="0.2">
      <c r="B352" s="29"/>
      <c r="C352" s="4"/>
      <c r="D352" s="212"/>
      <c r="E352" s="213"/>
      <c r="F352" s="213"/>
      <c r="G352" s="213"/>
      <c r="H352" s="214"/>
      <c r="I352" s="32" t="str">
        <f t="shared" si="11"/>
        <v/>
      </c>
      <c r="J352" s="32" t="str">
        <f t="shared" si="12"/>
        <v/>
      </c>
    </row>
    <row r="353" spans="2:10" ht="20.100000000000001" customHeight="1" x14ac:dyDescent="0.2">
      <c r="B353" s="29"/>
      <c r="C353" s="4"/>
      <c r="D353" s="212"/>
      <c r="E353" s="213"/>
      <c r="F353" s="213"/>
      <c r="G353" s="213"/>
      <c r="H353" s="214"/>
      <c r="I353" s="32" t="str">
        <f t="shared" si="11"/>
        <v/>
      </c>
      <c r="J353" s="32" t="str">
        <f t="shared" si="12"/>
        <v/>
      </c>
    </row>
    <row r="354" spans="2:10" ht="20.100000000000001" customHeight="1" x14ac:dyDescent="0.2">
      <c r="B354" s="29"/>
      <c r="C354" s="4"/>
      <c r="D354" s="212"/>
      <c r="E354" s="213"/>
      <c r="F354" s="213"/>
      <c r="G354" s="213"/>
      <c r="H354" s="214"/>
      <c r="I354" s="32" t="str">
        <f t="shared" si="11"/>
        <v/>
      </c>
      <c r="J354" s="32" t="str">
        <f t="shared" si="12"/>
        <v/>
      </c>
    </row>
    <row r="355" spans="2:10" ht="20.100000000000001" customHeight="1" x14ac:dyDescent="0.2">
      <c r="B355" s="29"/>
      <c r="C355" s="4"/>
      <c r="D355" s="212"/>
      <c r="E355" s="213"/>
      <c r="F355" s="213"/>
      <c r="G355" s="213"/>
      <c r="H355" s="214"/>
      <c r="I355" s="32" t="str">
        <f t="shared" si="11"/>
        <v/>
      </c>
      <c r="J355" s="32" t="str">
        <f t="shared" si="12"/>
        <v/>
      </c>
    </row>
    <row r="356" spans="2:10" ht="20.100000000000001" customHeight="1" x14ac:dyDescent="0.2">
      <c r="B356" s="29"/>
      <c r="C356" s="4"/>
      <c r="D356" s="212"/>
      <c r="E356" s="213"/>
      <c r="F356" s="213"/>
      <c r="G356" s="213"/>
      <c r="H356" s="214"/>
      <c r="I356" s="32" t="str">
        <f t="shared" si="11"/>
        <v/>
      </c>
      <c r="J356" s="32" t="str">
        <f t="shared" si="12"/>
        <v/>
      </c>
    </row>
    <row r="357" spans="2:10" ht="20.100000000000001" customHeight="1" x14ac:dyDescent="0.2">
      <c r="B357" s="29"/>
      <c r="C357" s="4"/>
      <c r="D357" s="212"/>
      <c r="E357" s="213"/>
      <c r="F357" s="213"/>
      <c r="G357" s="213"/>
      <c r="H357" s="214"/>
      <c r="I357" s="32" t="str">
        <f t="shared" si="11"/>
        <v/>
      </c>
      <c r="J357" s="32" t="str">
        <f t="shared" si="12"/>
        <v/>
      </c>
    </row>
    <row r="358" spans="2:10" ht="20.100000000000001" customHeight="1" x14ac:dyDescent="0.2">
      <c r="B358" s="29"/>
      <c r="C358" s="4"/>
      <c r="D358" s="212"/>
      <c r="E358" s="213"/>
      <c r="F358" s="213"/>
      <c r="G358" s="213"/>
      <c r="H358" s="214"/>
      <c r="I358" s="32" t="str">
        <f t="shared" si="11"/>
        <v/>
      </c>
      <c r="J358" s="32" t="str">
        <f t="shared" si="12"/>
        <v/>
      </c>
    </row>
    <row r="359" spans="2:10" ht="20.100000000000001" customHeight="1" x14ac:dyDescent="0.2">
      <c r="B359" s="29"/>
      <c r="C359" s="4"/>
      <c r="D359" s="212"/>
      <c r="E359" s="213"/>
      <c r="F359" s="213"/>
      <c r="G359" s="213"/>
      <c r="H359" s="214"/>
      <c r="I359" s="32" t="str">
        <f t="shared" si="11"/>
        <v/>
      </c>
      <c r="J359" s="32" t="str">
        <f t="shared" si="12"/>
        <v/>
      </c>
    </row>
    <row r="360" spans="2:10" ht="20.100000000000001" customHeight="1" x14ac:dyDescent="0.2">
      <c r="B360" s="29"/>
      <c r="C360" s="4"/>
      <c r="D360" s="212"/>
      <c r="E360" s="213"/>
      <c r="F360" s="213"/>
      <c r="G360" s="213"/>
      <c r="H360" s="214"/>
      <c r="I360" s="32" t="str">
        <f t="shared" si="11"/>
        <v/>
      </c>
      <c r="J360" s="32" t="str">
        <f t="shared" si="12"/>
        <v/>
      </c>
    </row>
    <row r="361" spans="2:10" ht="20.100000000000001" customHeight="1" x14ac:dyDescent="0.2">
      <c r="B361" s="29"/>
      <c r="C361" s="4"/>
      <c r="D361" s="212"/>
      <c r="E361" s="213"/>
      <c r="F361" s="213"/>
      <c r="G361" s="213"/>
      <c r="H361" s="214"/>
      <c r="I361" s="32" t="str">
        <f t="shared" si="11"/>
        <v/>
      </c>
      <c r="J361" s="32" t="str">
        <f t="shared" si="12"/>
        <v/>
      </c>
    </row>
    <row r="362" spans="2:10" ht="20.100000000000001" customHeight="1" x14ac:dyDescent="0.2">
      <c r="B362" s="29"/>
      <c r="C362" s="4"/>
      <c r="D362" s="212"/>
      <c r="E362" s="213"/>
      <c r="F362" s="213"/>
      <c r="G362" s="213"/>
      <c r="H362" s="214"/>
      <c r="I362" s="32" t="str">
        <f t="shared" si="11"/>
        <v/>
      </c>
      <c r="J362" s="32" t="str">
        <f t="shared" si="12"/>
        <v/>
      </c>
    </row>
    <row r="363" spans="2:10" ht="20.100000000000001" customHeight="1" x14ac:dyDescent="0.2">
      <c r="B363" s="29"/>
      <c r="C363" s="4"/>
      <c r="D363" s="212"/>
      <c r="E363" s="213"/>
      <c r="F363" s="213"/>
      <c r="G363" s="213"/>
      <c r="H363" s="214"/>
      <c r="I363" s="32" t="str">
        <f t="shared" si="11"/>
        <v/>
      </c>
      <c r="J363" s="32" t="str">
        <f t="shared" si="12"/>
        <v/>
      </c>
    </row>
    <row r="364" spans="2:10" ht="20.100000000000001" customHeight="1" x14ac:dyDescent="0.2">
      <c r="B364" s="29"/>
      <c r="C364" s="4"/>
      <c r="D364" s="212"/>
      <c r="E364" s="213"/>
      <c r="F364" s="213"/>
      <c r="G364" s="213"/>
      <c r="H364" s="214"/>
      <c r="I364" s="32" t="str">
        <f t="shared" si="11"/>
        <v/>
      </c>
      <c r="J364" s="32" t="str">
        <f t="shared" si="12"/>
        <v/>
      </c>
    </row>
    <row r="365" spans="2:10" ht="20.100000000000001" customHeight="1" x14ac:dyDescent="0.2">
      <c r="B365" s="29"/>
      <c r="C365" s="4"/>
      <c r="D365" s="212"/>
      <c r="E365" s="213"/>
      <c r="F365" s="213"/>
      <c r="G365" s="213"/>
      <c r="H365" s="214"/>
      <c r="I365" s="32" t="str">
        <f t="shared" si="11"/>
        <v/>
      </c>
      <c r="J365" s="32" t="str">
        <f t="shared" si="12"/>
        <v/>
      </c>
    </row>
    <row r="366" spans="2:10" ht="20.100000000000001" customHeight="1" x14ac:dyDescent="0.2">
      <c r="B366" s="29"/>
      <c r="C366" s="4"/>
      <c r="D366" s="212"/>
      <c r="E366" s="213"/>
      <c r="F366" s="213"/>
      <c r="G366" s="213"/>
      <c r="H366" s="214"/>
      <c r="I366" s="32" t="str">
        <f t="shared" si="11"/>
        <v/>
      </c>
      <c r="J366" s="32" t="str">
        <f t="shared" si="12"/>
        <v/>
      </c>
    </row>
    <row r="367" spans="2:10" ht="20.100000000000001" customHeight="1" x14ac:dyDescent="0.2">
      <c r="B367" s="29"/>
      <c r="C367" s="4"/>
      <c r="D367" s="212"/>
      <c r="E367" s="213"/>
      <c r="F367" s="213"/>
      <c r="G367" s="213"/>
      <c r="H367" s="214"/>
      <c r="I367" s="32" t="str">
        <f t="shared" si="11"/>
        <v/>
      </c>
      <c r="J367" s="32" t="str">
        <f t="shared" si="12"/>
        <v/>
      </c>
    </row>
    <row r="368" spans="2:10" ht="20.100000000000001" customHeight="1" x14ac:dyDescent="0.2">
      <c r="B368" s="29"/>
      <c r="C368" s="4"/>
      <c r="D368" s="212"/>
      <c r="E368" s="213"/>
      <c r="F368" s="213"/>
      <c r="G368" s="213"/>
      <c r="H368" s="214"/>
      <c r="I368" s="32" t="str">
        <f t="shared" si="11"/>
        <v/>
      </c>
      <c r="J368" s="32" t="str">
        <f t="shared" si="12"/>
        <v/>
      </c>
    </row>
    <row r="369" spans="2:10" ht="20.100000000000001" customHeight="1" x14ac:dyDescent="0.2">
      <c r="B369" s="29"/>
      <c r="C369" s="4"/>
      <c r="D369" s="212"/>
      <c r="E369" s="213"/>
      <c r="F369" s="213"/>
      <c r="G369" s="213"/>
      <c r="H369" s="214"/>
      <c r="I369" s="32" t="str">
        <f t="shared" si="11"/>
        <v/>
      </c>
      <c r="J369" s="32" t="str">
        <f t="shared" si="12"/>
        <v/>
      </c>
    </row>
    <row r="370" spans="2:10" ht="20.100000000000001" customHeight="1" x14ac:dyDescent="0.2">
      <c r="B370" s="29"/>
      <c r="C370" s="4"/>
      <c r="D370" s="212"/>
      <c r="E370" s="213"/>
      <c r="F370" s="213"/>
      <c r="G370" s="213"/>
      <c r="H370" s="214"/>
      <c r="I370" s="32" t="str">
        <f t="shared" si="11"/>
        <v/>
      </c>
      <c r="J370" s="32" t="str">
        <f t="shared" si="12"/>
        <v/>
      </c>
    </row>
    <row r="371" spans="2:10" ht="20.100000000000001" customHeight="1" x14ac:dyDescent="0.2">
      <c r="B371" s="29"/>
      <c r="C371" s="4"/>
      <c r="D371" s="212"/>
      <c r="E371" s="213"/>
      <c r="F371" s="213"/>
      <c r="G371" s="213"/>
      <c r="H371" s="214"/>
      <c r="I371" s="32" t="str">
        <f t="shared" si="11"/>
        <v/>
      </c>
      <c r="J371" s="32" t="str">
        <f t="shared" si="12"/>
        <v/>
      </c>
    </row>
    <row r="372" spans="2:10" ht="20.100000000000001" customHeight="1" x14ac:dyDescent="0.2">
      <c r="B372" s="29"/>
      <c r="C372" s="4"/>
      <c r="D372" s="212"/>
      <c r="E372" s="213"/>
      <c r="F372" s="213"/>
      <c r="G372" s="213"/>
      <c r="H372" s="214"/>
      <c r="I372" s="32" t="str">
        <f t="shared" si="11"/>
        <v/>
      </c>
      <c r="J372" s="32" t="str">
        <f t="shared" si="12"/>
        <v/>
      </c>
    </row>
    <row r="373" spans="2:10" ht="20.100000000000001" customHeight="1" x14ac:dyDescent="0.2">
      <c r="B373" s="29"/>
      <c r="C373" s="4"/>
      <c r="D373" s="212"/>
      <c r="E373" s="213"/>
      <c r="F373" s="213"/>
      <c r="G373" s="213"/>
      <c r="H373" s="214"/>
      <c r="I373" s="32" t="str">
        <f t="shared" si="11"/>
        <v/>
      </c>
      <c r="J373" s="32" t="str">
        <f t="shared" si="12"/>
        <v/>
      </c>
    </row>
    <row r="374" spans="2:10" ht="20.100000000000001" customHeight="1" x14ac:dyDescent="0.2">
      <c r="B374" s="29"/>
      <c r="C374" s="4"/>
      <c r="D374" s="212"/>
      <c r="E374" s="213"/>
      <c r="F374" s="213"/>
      <c r="G374" s="213"/>
      <c r="H374" s="214"/>
      <c r="I374" s="32" t="str">
        <f t="shared" si="11"/>
        <v/>
      </c>
      <c r="J374" s="32" t="str">
        <f t="shared" si="12"/>
        <v/>
      </c>
    </row>
    <row r="375" spans="2:10" ht="20.100000000000001" customHeight="1" x14ac:dyDescent="0.2">
      <c r="B375" s="29"/>
      <c r="C375" s="4"/>
      <c r="D375" s="212"/>
      <c r="E375" s="213"/>
      <c r="F375" s="213"/>
      <c r="G375" s="213"/>
      <c r="H375" s="214"/>
      <c r="I375" s="32" t="str">
        <f t="shared" si="11"/>
        <v/>
      </c>
      <c r="J375" s="32" t="str">
        <f t="shared" si="12"/>
        <v/>
      </c>
    </row>
    <row r="376" spans="2:10" ht="20.100000000000001" customHeight="1" x14ac:dyDescent="0.2">
      <c r="B376" s="29"/>
      <c r="C376" s="4"/>
      <c r="D376" s="212"/>
      <c r="E376" s="213"/>
      <c r="F376" s="213"/>
      <c r="G376" s="213"/>
      <c r="H376" s="214"/>
      <c r="I376" s="32" t="str">
        <f t="shared" si="11"/>
        <v/>
      </c>
      <c r="J376" s="32" t="str">
        <f t="shared" si="12"/>
        <v/>
      </c>
    </row>
    <row r="377" spans="2:10" ht="20.100000000000001" customHeight="1" x14ac:dyDescent="0.2">
      <c r="B377" s="29"/>
      <c r="C377" s="4"/>
      <c r="D377" s="212"/>
      <c r="E377" s="213"/>
      <c r="F377" s="213"/>
      <c r="G377" s="213"/>
      <c r="H377" s="214"/>
      <c r="I377" s="32" t="str">
        <f t="shared" si="11"/>
        <v/>
      </c>
      <c r="J377" s="32" t="str">
        <f t="shared" si="12"/>
        <v/>
      </c>
    </row>
    <row r="378" spans="2:10" ht="20.100000000000001" customHeight="1" x14ac:dyDescent="0.2">
      <c r="B378" s="29"/>
      <c r="C378" s="4"/>
      <c r="D378" s="212"/>
      <c r="E378" s="213"/>
      <c r="F378" s="213"/>
      <c r="G378" s="213"/>
      <c r="H378" s="214"/>
      <c r="I378" s="32" t="str">
        <f t="shared" si="11"/>
        <v/>
      </c>
      <c r="J378" s="32" t="str">
        <f t="shared" si="12"/>
        <v/>
      </c>
    </row>
    <row r="379" spans="2:10" ht="20.100000000000001" customHeight="1" x14ac:dyDescent="0.2">
      <c r="B379" s="29"/>
      <c r="C379" s="4"/>
      <c r="D379" s="212"/>
      <c r="E379" s="213"/>
      <c r="F379" s="213"/>
      <c r="G379" s="213"/>
      <c r="H379" s="214"/>
      <c r="I379" s="32" t="str">
        <f t="shared" si="11"/>
        <v/>
      </c>
      <c r="J379" s="32" t="str">
        <f t="shared" si="12"/>
        <v/>
      </c>
    </row>
    <row r="380" spans="2:10" ht="20.100000000000001" customHeight="1" x14ac:dyDescent="0.2">
      <c r="B380" s="29"/>
      <c r="C380" s="4"/>
      <c r="D380" s="212"/>
      <c r="E380" s="213"/>
      <c r="F380" s="213"/>
      <c r="G380" s="213"/>
      <c r="H380" s="214"/>
      <c r="I380" s="32" t="str">
        <f t="shared" si="11"/>
        <v/>
      </c>
      <c r="J380" s="32" t="str">
        <f t="shared" si="12"/>
        <v/>
      </c>
    </row>
    <row r="381" spans="2:10" ht="20.100000000000001" customHeight="1" x14ac:dyDescent="0.2">
      <c r="B381" s="29"/>
      <c r="C381" s="4"/>
      <c r="D381" s="212"/>
      <c r="E381" s="213"/>
      <c r="F381" s="213"/>
      <c r="G381" s="213"/>
      <c r="H381" s="214"/>
      <c r="I381" s="32" t="str">
        <f t="shared" si="11"/>
        <v/>
      </c>
      <c r="J381" s="32" t="str">
        <f t="shared" si="12"/>
        <v/>
      </c>
    </row>
    <row r="382" spans="2:10" ht="20.100000000000001" customHeight="1" x14ac:dyDescent="0.2">
      <c r="B382" s="29"/>
      <c r="C382" s="4"/>
      <c r="D382" s="212"/>
      <c r="E382" s="213"/>
      <c r="F382" s="213"/>
      <c r="G382" s="213"/>
      <c r="H382" s="214"/>
      <c r="I382" s="32" t="str">
        <f t="shared" si="11"/>
        <v/>
      </c>
      <c r="J382" s="32" t="str">
        <f t="shared" si="12"/>
        <v/>
      </c>
    </row>
    <row r="383" spans="2:10" ht="20.100000000000001" customHeight="1" x14ac:dyDescent="0.2">
      <c r="B383" s="29"/>
      <c r="C383" s="4"/>
      <c r="D383" s="212"/>
      <c r="E383" s="213"/>
      <c r="F383" s="213"/>
      <c r="G383" s="213"/>
      <c r="H383" s="214"/>
      <c r="I383" s="32" t="str">
        <f t="shared" si="11"/>
        <v/>
      </c>
      <c r="J383" s="32" t="str">
        <f t="shared" si="12"/>
        <v/>
      </c>
    </row>
    <row r="384" spans="2:10" ht="20.100000000000001" customHeight="1" x14ac:dyDescent="0.2">
      <c r="B384" s="29"/>
      <c r="C384" s="4"/>
      <c r="D384" s="212"/>
      <c r="E384" s="213"/>
      <c r="F384" s="213"/>
      <c r="G384" s="213"/>
      <c r="H384" s="214"/>
      <c r="I384" s="32" t="str">
        <f t="shared" si="11"/>
        <v/>
      </c>
      <c r="J384" s="32" t="str">
        <f t="shared" si="12"/>
        <v/>
      </c>
    </row>
    <row r="385" spans="2:10" ht="20.100000000000001" customHeight="1" x14ac:dyDescent="0.2">
      <c r="B385" s="29"/>
      <c r="C385" s="4"/>
      <c r="D385" s="212"/>
      <c r="E385" s="213"/>
      <c r="F385" s="213"/>
      <c r="G385" s="213"/>
      <c r="H385" s="214"/>
      <c r="I385" s="32" t="str">
        <f t="shared" si="11"/>
        <v/>
      </c>
      <c r="J385" s="32" t="str">
        <f t="shared" si="12"/>
        <v/>
      </c>
    </row>
    <row r="386" spans="2:10" ht="20.100000000000001" customHeight="1" x14ac:dyDescent="0.2">
      <c r="B386" s="29"/>
      <c r="C386" s="4"/>
      <c r="D386" s="212"/>
      <c r="E386" s="213"/>
      <c r="F386" s="213"/>
      <c r="G386" s="213"/>
      <c r="H386" s="214"/>
      <c r="I386" s="32" t="str">
        <f t="shared" si="11"/>
        <v/>
      </c>
      <c r="J386" s="32" t="str">
        <f t="shared" si="12"/>
        <v/>
      </c>
    </row>
    <row r="387" spans="2:10" ht="20.100000000000001" customHeight="1" x14ac:dyDescent="0.2">
      <c r="B387" s="29"/>
      <c r="C387" s="4"/>
      <c r="D387" s="212"/>
      <c r="E387" s="213"/>
      <c r="F387" s="213"/>
      <c r="G387" s="213"/>
      <c r="H387" s="214"/>
      <c r="I387" s="32" t="str">
        <f t="shared" si="11"/>
        <v/>
      </c>
      <c r="J387" s="32" t="str">
        <f t="shared" si="12"/>
        <v/>
      </c>
    </row>
    <row r="388" spans="2:10" ht="20.100000000000001" customHeight="1" x14ac:dyDescent="0.2">
      <c r="B388" s="29"/>
      <c r="C388" s="4"/>
      <c r="D388" s="212"/>
      <c r="E388" s="213"/>
      <c r="F388" s="213"/>
      <c r="G388" s="213"/>
      <c r="H388" s="214"/>
      <c r="I388" s="32" t="str">
        <f t="shared" si="11"/>
        <v/>
      </c>
      <c r="J388" s="32" t="str">
        <f t="shared" si="12"/>
        <v/>
      </c>
    </row>
    <row r="389" spans="2:10" ht="20.100000000000001" customHeight="1" x14ac:dyDescent="0.2">
      <c r="B389" s="29"/>
      <c r="C389" s="4"/>
      <c r="D389" s="212"/>
      <c r="E389" s="213"/>
      <c r="F389" s="213"/>
      <c r="G389" s="213"/>
      <c r="H389" s="214"/>
      <c r="I389" s="32" t="str">
        <f t="shared" ref="I389:I452" si="13">IFERROR(AVERAGE(INDEX($D:$H,ROW(),)),"")</f>
        <v/>
      </c>
      <c r="J389" s="32" t="str">
        <f t="shared" si="12"/>
        <v/>
      </c>
    </row>
    <row r="390" spans="2:10" ht="20.100000000000001" customHeight="1" x14ac:dyDescent="0.2">
      <c r="B390" s="29"/>
      <c r="C390" s="4"/>
      <c r="D390" s="212"/>
      <c r="E390" s="213"/>
      <c r="F390" s="213"/>
      <c r="G390" s="213"/>
      <c r="H390" s="214"/>
      <c r="I390" s="32" t="str">
        <f t="shared" si="13"/>
        <v/>
      </c>
      <c r="J390" s="32" t="str">
        <f t="shared" si="12"/>
        <v/>
      </c>
    </row>
    <row r="391" spans="2:10" ht="20.100000000000001" customHeight="1" x14ac:dyDescent="0.2">
      <c r="B391" s="29"/>
      <c r="C391" s="4"/>
      <c r="D391" s="212"/>
      <c r="E391" s="213"/>
      <c r="F391" s="213"/>
      <c r="G391" s="213"/>
      <c r="H391" s="214"/>
      <c r="I391" s="32" t="str">
        <f t="shared" si="13"/>
        <v/>
      </c>
      <c r="J391" s="32" t="str">
        <f t="shared" si="12"/>
        <v/>
      </c>
    </row>
    <row r="392" spans="2:10" ht="20.100000000000001" customHeight="1" x14ac:dyDescent="0.2">
      <c r="B392" s="29"/>
      <c r="C392" s="4"/>
      <c r="D392" s="212"/>
      <c r="E392" s="213"/>
      <c r="F392" s="213"/>
      <c r="G392" s="213"/>
      <c r="H392" s="214"/>
      <c r="I392" s="32" t="str">
        <f t="shared" si="13"/>
        <v/>
      </c>
      <c r="J392" s="32" t="str">
        <f t="shared" si="12"/>
        <v/>
      </c>
    </row>
    <row r="393" spans="2:10" ht="20.100000000000001" customHeight="1" x14ac:dyDescent="0.2">
      <c r="B393" s="29"/>
      <c r="C393" s="4"/>
      <c r="D393" s="212"/>
      <c r="E393" s="213"/>
      <c r="F393" s="213"/>
      <c r="G393" s="213"/>
      <c r="H393" s="214"/>
      <c r="I393" s="32" t="str">
        <f t="shared" si="13"/>
        <v/>
      </c>
      <c r="J393" s="32" t="str">
        <f t="shared" si="12"/>
        <v/>
      </c>
    </row>
    <row r="394" spans="2:10" ht="20.100000000000001" customHeight="1" x14ac:dyDescent="0.2">
      <c r="B394" s="29"/>
      <c r="C394" s="4"/>
      <c r="D394" s="212"/>
      <c r="E394" s="213"/>
      <c r="F394" s="213"/>
      <c r="G394" s="213"/>
      <c r="H394" s="214"/>
      <c r="I394" s="32" t="str">
        <f t="shared" si="13"/>
        <v/>
      </c>
      <c r="J394" s="32" t="str">
        <f t="shared" si="12"/>
        <v/>
      </c>
    </row>
    <row r="395" spans="2:10" ht="20.100000000000001" customHeight="1" x14ac:dyDescent="0.2">
      <c r="B395" s="29"/>
      <c r="C395" s="4"/>
      <c r="D395" s="212"/>
      <c r="E395" s="213"/>
      <c r="F395" s="213"/>
      <c r="G395" s="213"/>
      <c r="H395" s="214"/>
      <c r="I395" s="32" t="str">
        <f t="shared" si="13"/>
        <v/>
      </c>
      <c r="J395" s="32" t="str">
        <f t="shared" ref="J395:J458" si="14">IF(ISBLANK(INDEX(D:H,ROW(),1)),"",MIN(INDEX($D:$H,ROW(),)))</f>
        <v/>
      </c>
    </row>
    <row r="396" spans="2:10" ht="20.100000000000001" customHeight="1" x14ac:dyDescent="0.2">
      <c r="B396" s="29"/>
      <c r="C396" s="4"/>
      <c r="D396" s="212"/>
      <c r="E396" s="213"/>
      <c r="F396" s="213"/>
      <c r="G396" s="213"/>
      <c r="H396" s="214"/>
      <c r="I396" s="32" t="str">
        <f t="shared" si="13"/>
        <v/>
      </c>
      <c r="J396" s="32" t="str">
        <f t="shared" si="14"/>
        <v/>
      </c>
    </row>
    <row r="397" spans="2:10" ht="20.100000000000001" customHeight="1" x14ac:dyDescent="0.2">
      <c r="B397" s="29"/>
      <c r="C397" s="4"/>
      <c r="D397" s="212"/>
      <c r="E397" s="213"/>
      <c r="F397" s="213"/>
      <c r="G397" s="213"/>
      <c r="H397" s="214"/>
      <c r="I397" s="32" t="str">
        <f t="shared" si="13"/>
        <v/>
      </c>
      <c r="J397" s="32" t="str">
        <f t="shared" si="14"/>
        <v/>
      </c>
    </row>
    <row r="398" spans="2:10" ht="20.100000000000001" customHeight="1" x14ac:dyDescent="0.2">
      <c r="B398" s="29"/>
      <c r="C398" s="4"/>
      <c r="D398" s="212"/>
      <c r="E398" s="213"/>
      <c r="F398" s="213"/>
      <c r="G398" s="213"/>
      <c r="H398" s="214"/>
      <c r="I398" s="32" t="str">
        <f t="shared" si="13"/>
        <v/>
      </c>
      <c r="J398" s="32" t="str">
        <f t="shared" si="14"/>
        <v/>
      </c>
    </row>
    <row r="399" spans="2:10" ht="20.100000000000001" customHeight="1" x14ac:dyDescent="0.2">
      <c r="B399" s="29"/>
      <c r="C399" s="4"/>
      <c r="D399" s="212"/>
      <c r="E399" s="213"/>
      <c r="F399" s="213"/>
      <c r="G399" s="213"/>
      <c r="H399" s="214"/>
      <c r="I399" s="32" t="str">
        <f t="shared" si="13"/>
        <v/>
      </c>
      <c r="J399" s="32" t="str">
        <f t="shared" si="14"/>
        <v/>
      </c>
    </row>
    <row r="400" spans="2:10" ht="20.100000000000001" customHeight="1" x14ac:dyDescent="0.2">
      <c r="B400" s="29"/>
      <c r="C400" s="4"/>
      <c r="D400" s="212"/>
      <c r="E400" s="213"/>
      <c r="F400" s="213"/>
      <c r="G400" s="213"/>
      <c r="H400" s="214"/>
      <c r="I400" s="32" t="str">
        <f t="shared" si="13"/>
        <v/>
      </c>
      <c r="J400" s="32" t="str">
        <f t="shared" si="14"/>
        <v/>
      </c>
    </row>
    <row r="401" spans="2:10" ht="20.100000000000001" customHeight="1" x14ac:dyDescent="0.2">
      <c r="B401" s="29"/>
      <c r="C401" s="4"/>
      <c r="D401" s="212"/>
      <c r="E401" s="213"/>
      <c r="F401" s="213"/>
      <c r="G401" s="213"/>
      <c r="H401" s="214"/>
      <c r="I401" s="32" t="str">
        <f t="shared" si="13"/>
        <v/>
      </c>
      <c r="J401" s="32" t="str">
        <f t="shared" si="14"/>
        <v/>
      </c>
    </row>
    <row r="402" spans="2:10" ht="20.100000000000001" customHeight="1" x14ac:dyDescent="0.2">
      <c r="B402" s="29"/>
      <c r="C402" s="4"/>
      <c r="D402" s="212"/>
      <c r="E402" s="213"/>
      <c r="F402" s="213"/>
      <c r="G402" s="213"/>
      <c r="H402" s="214"/>
      <c r="I402" s="32" t="str">
        <f t="shared" si="13"/>
        <v/>
      </c>
      <c r="J402" s="32" t="str">
        <f t="shared" si="14"/>
        <v/>
      </c>
    </row>
    <row r="403" spans="2:10" ht="20.100000000000001" customHeight="1" x14ac:dyDescent="0.2">
      <c r="B403" s="29"/>
      <c r="C403" s="4"/>
      <c r="D403" s="212"/>
      <c r="E403" s="213"/>
      <c r="F403" s="213"/>
      <c r="G403" s="213"/>
      <c r="H403" s="214"/>
      <c r="I403" s="32" t="str">
        <f t="shared" si="13"/>
        <v/>
      </c>
      <c r="J403" s="32" t="str">
        <f t="shared" si="14"/>
        <v/>
      </c>
    </row>
    <row r="404" spans="2:10" ht="20.100000000000001" customHeight="1" x14ac:dyDescent="0.2">
      <c r="B404" s="29"/>
      <c r="C404" s="4"/>
      <c r="D404" s="212"/>
      <c r="E404" s="213"/>
      <c r="F404" s="213"/>
      <c r="G404" s="213"/>
      <c r="H404" s="214"/>
      <c r="I404" s="32" t="str">
        <f t="shared" si="13"/>
        <v/>
      </c>
      <c r="J404" s="32" t="str">
        <f t="shared" si="14"/>
        <v/>
      </c>
    </row>
    <row r="405" spans="2:10" ht="20.100000000000001" customHeight="1" x14ac:dyDescent="0.2">
      <c r="B405" s="29"/>
      <c r="C405" s="4"/>
      <c r="D405" s="212"/>
      <c r="E405" s="213"/>
      <c r="F405" s="213"/>
      <c r="G405" s="213"/>
      <c r="H405" s="214"/>
      <c r="I405" s="32" t="str">
        <f t="shared" si="13"/>
        <v/>
      </c>
      <c r="J405" s="32" t="str">
        <f t="shared" si="14"/>
        <v/>
      </c>
    </row>
    <row r="406" spans="2:10" ht="20.100000000000001" customHeight="1" x14ac:dyDescent="0.2">
      <c r="B406" s="29"/>
      <c r="C406" s="4"/>
      <c r="D406" s="212"/>
      <c r="E406" s="213"/>
      <c r="F406" s="213"/>
      <c r="G406" s="213"/>
      <c r="H406" s="214"/>
      <c r="I406" s="32" t="str">
        <f t="shared" si="13"/>
        <v/>
      </c>
      <c r="J406" s="32" t="str">
        <f t="shared" si="14"/>
        <v/>
      </c>
    </row>
    <row r="407" spans="2:10" ht="20.100000000000001" customHeight="1" x14ac:dyDescent="0.2">
      <c r="B407" s="29"/>
      <c r="C407" s="4"/>
      <c r="D407" s="212"/>
      <c r="E407" s="213"/>
      <c r="F407" s="213"/>
      <c r="G407" s="213"/>
      <c r="H407" s="214"/>
      <c r="I407" s="32" t="str">
        <f t="shared" si="13"/>
        <v/>
      </c>
      <c r="J407" s="32" t="str">
        <f t="shared" si="14"/>
        <v/>
      </c>
    </row>
    <row r="408" spans="2:10" ht="20.100000000000001" customHeight="1" x14ac:dyDescent="0.2">
      <c r="B408" s="29"/>
      <c r="C408" s="4"/>
      <c r="D408" s="212"/>
      <c r="E408" s="213"/>
      <c r="F408" s="213"/>
      <c r="G408" s="213"/>
      <c r="H408" s="214"/>
      <c r="I408" s="32" t="str">
        <f t="shared" si="13"/>
        <v/>
      </c>
      <c r="J408" s="32" t="str">
        <f t="shared" si="14"/>
        <v/>
      </c>
    </row>
    <row r="409" spans="2:10" ht="20.100000000000001" customHeight="1" x14ac:dyDescent="0.2">
      <c r="B409" s="29"/>
      <c r="C409" s="4"/>
      <c r="D409" s="212"/>
      <c r="E409" s="213"/>
      <c r="F409" s="213"/>
      <c r="G409" s="213"/>
      <c r="H409" s="214"/>
      <c r="I409" s="32" t="str">
        <f t="shared" si="13"/>
        <v/>
      </c>
      <c r="J409" s="32" t="str">
        <f t="shared" si="14"/>
        <v/>
      </c>
    </row>
    <row r="410" spans="2:10" ht="20.100000000000001" customHeight="1" x14ac:dyDescent="0.2">
      <c r="B410" s="29"/>
      <c r="C410" s="4"/>
      <c r="D410" s="212"/>
      <c r="E410" s="213"/>
      <c r="F410" s="213"/>
      <c r="G410" s="213"/>
      <c r="H410" s="214"/>
      <c r="I410" s="32" t="str">
        <f t="shared" si="13"/>
        <v/>
      </c>
      <c r="J410" s="32" t="str">
        <f t="shared" si="14"/>
        <v/>
      </c>
    </row>
    <row r="411" spans="2:10" ht="20.100000000000001" customHeight="1" x14ac:dyDescent="0.2">
      <c r="B411" s="29"/>
      <c r="C411" s="4"/>
      <c r="D411" s="212"/>
      <c r="E411" s="213"/>
      <c r="F411" s="213"/>
      <c r="G411" s="213"/>
      <c r="H411" s="214"/>
      <c r="I411" s="32" t="str">
        <f t="shared" si="13"/>
        <v/>
      </c>
      <c r="J411" s="32" t="str">
        <f t="shared" si="14"/>
        <v/>
      </c>
    </row>
    <row r="412" spans="2:10" ht="20.100000000000001" customHeight="1" x14ac:dyDescent="0.2">
      <c r="B412" s="29"/>
      <c r="C412" s="4"/>
      <c r="D412" s="212"/>
      <c r="E412" s="213"/>
      <c r="F412" s="213"/>
      <c r="G412" s="213"/>
      <c r="H412" s="214"/>
      <c r="I412" s="32" t="str">
        <f t="shared" si="13"/>
        <v/>
      </c>
      <c r="J412" s="32" t="str">
        <f t="shared" si="14"/>
        <v/>
      </c>
    </row>
    <row r="413" spans="2:10" ht="20.100000000000001" customHeight="1" x14ac:dyDescent="0.2">
      <c r="B413" s="29"/>
      <c r="C413" s="4"/>
      <c r="D413" s="212"/>
      <c r="E413" s="213"/>
      <c r="F413" s="213"/>
      <c r="G413" s="213"/>
      <c r="H413" s="214"/>
      <c r="I413" s="32" t="str">
        <f t="shared" si="13"/>
        <v/>
      </c>
      <c r="J413" s="32" t="str">
        <f t="shared" si="14"/>
        <v/>
      </c>
    </row>
    <row r="414" spans="2:10" ht="20.100000000000001" customHeight="1" x14ac:dyDescent="0.2">
      <c r="B414" s="29"/>
      <c r="C414" s="4"/>
      <c r="D414" s="212"/>
      <c r="E414" s="213"/>
      <c r="F414" s="213"/>
      <c r="G414" s="213"/>
      <c r="H414" s="214"/>
      <c r="I414" s="32" t="str">
        <f t="shared" si="13"/>
        <v/>
      </c>
      <c r="J414" s="32" t="str">
        <f t="shared" si="14"/>
        <v/>
      </c>
    </row>
    <row r="415" spans="2:10" ht="20.100000000000001" customHeight="1" x14ac:dyDescent="0.2">
      <c r="B415" s="29"/>
      <c r="C415" s="4"/>
      <c r="D415" s="212"/>
      <c r="E415" s="213"/>
      <c r="F415" s="213"/>
      <c r="G415" s="213"/>
      <c r="H415" s="214"/>
      <c r="I415" s="32" t="str">
        <f t="shared" si="13"/>
        <v/>
      </c>
      <c r="J415" s="32" t="str">
        <f t="shared" si="14"/>
        <v/>
      </c>
    </row>
    <row r="416" spans="2:10" ht="20.100000000000001" customHeight="1" x14ac:dyDescent="0.2">
      <c r="B416" s="29"/>
      <c r="C416" s="4"/>
      <c r="D416" s="212"/>
      <c r="E416" s="213"/>
      <c r="F416" s="213"/>
      <c r="G416" s="213"/>
      <c r="H416" s="214"/>
      <c r="I416" s="32" t="str">
        <f t="shared" si="13"/>
        <v/>
      </c>
      <c r="J416" s="32" t="str">
        <f t="shared" si="14"/>
        <v/>
      </c>
    </row>
    <row r="417" spans="2:10" ht="20.100000000000001" customHeight="1" x14ac:dyDescent="0.2">
      <c r="B417" s="29"/>
      <c r="C417" s="4"/>
      <c r="D417" s="212"/>
      <c r="E417" s="213"/>
      <c r="F417" s="213"/>
      <c r="G417" s="213"/>
      <c r="H417" s="214"/>
      <c r="I417" s="32" t="str">
        <f t="shared" si="13"/>
        <v/>
      </c>
      <c r="J417" s="32" t="str">
        <f t="shared" si="14"/>
        <v/>
      </c>
    </row>
    <row r="418" spans="2:10" ht="20.100000000000001" customHeight="1" x14ac:dyDescent="0.2">
      <c r="B418" s="29"/>
      <c r="C418" s="4"/>
      <c r="D418" s="212"/>
      <c r="E418" s="213"/>
      <c r="F418" s="213"/>
      <c r="G418" s="213"/>
      <c r="H418" s="214"/>
      <c r="I418" s="32" t="str">
        <f t="shared" si="13"/>
        <v/>
      </c>
      <c r="J418" s="32" t="str">
        <f t="shared" si="14"/>
        <v/>
      </c>
    </row>
    <row r="419" spans="2:10" ht="20.100000000000001" customHeight="1" x14ac:dyDescent="0.2">
      <c r="B419" s="29"/>
      <c r="C419" s="4"/>
      <c r="D419" s="212"/>
      <c r="E419" s="213"/>
      <c r="F419" s="213"/>
      <c r="G419" s="213"/>
      <c r="H419" s="214"/>
      <c r="I419" s="32" t="str">
        <f t="shared" si="13"/>
        <v/>
      </c>
      <c r="J419" s="32" t="str">
        <f t="shared" si="14"/>
        <v/>
      </c>
    </row>
    <row r="420" spans="2:10" ht="20.100000000000001" customHeight="1" x14ac:dyDescent="0.2">
      <c r="B420" s="29"/>
      <c r="C420" s="4"/>
      <c r="D420" s="212"/>
      <c r="E420" s="213"/>
      <c r="F420" s="213"/>
      <c r="G420" s="213"/>
      <c r="H420" s="214"/>
      <c r="I420" s="32" t="str">
        <f t="shared" si="13"/>
        <v/>
      </c>
      <c r="J420" s="32" t="str">
        <f t="shared" si="14"/>
        <v/>
      </c>
    </row>
    <row r="421" spans="2:10" ht="20.100000000000001" customHeight="1" x14ac:dyDescent="0.2">
      <c r="B421" s="29"/>
      <c r="C421" s="4"/>
      <c r="D421" s="212"/>
      <c r="E421" s="213"/>
      <c r="F421" s="213"/>
      <c r="G421" s="213"/>
      <c r="H421" s="214"/>
      <c r="I421" s="32" t="str">
        <f t="shared" si="13"/>
        <v/>
      </c>
      <c r="J421" s="32" t="str">
        <f t="shared" si="14"/>
        <v/>
      </c>
    </row>
    <row r="422" spans="2:10" ht="20.100000000000001" customHeight="1" x14ac:dyDescent="0.2">
      <c r="B422" s="29"/>
      <c r="C422" s="4"/>
      <c r="D422" s="212"/>
      <c r="E422" s="213"/>
      <c r="F422" s="213"/>
      <c r="G422" s="213"/>
      <c r="H422" s="214"/>
      <c r="I422" s="32" t="str">
        <f t="shared" si="13"/>
        <v/>
      </c>
      <c r="J422" s="32" t="str">
        <f t="shared" si="14"/>
        <v/>
      </c>
    </row>
    <row r="423" spans="2:10" ht="20.100000000000001" customHeight="1" x14ac:dyDescent="0.2">
      <c r="B423" s="29"/>
      <c r="C423" s="4"/>
      <c r="D423" s="212"/>
      <c r="E423" s="213"/>
      <c r="F423" s="213"/>
      <c r="G423" s="213"/>
      <c r="H423" s="214"/>
      <c r="I423" s="32" t="str">
        <f t="shared" si="13"/>
        <v/>
      </c>
      <c r="J423" s="32" t="str">
        <f t="shared" si="14"/>
        <v/>
      </c>
    </row>
    <row r="424" spans="2:10" ht="20.100000000000001" customHeight="1" x14ac:dyDescent="0.2">
      <c r="B424" s="29"/>
      <c r="C424" s="4"/>
      <c r="D424" s="212"/>
      <c r="E424" s="213"/>
      <c r="F424" s="213"/>
      <c r="G424" s="213"/>
      <c r="H424" s="214"/>
      <c r="I424" s="32" t="str">
        <f t="shared" si="13"/>
        <v/>
      </c>
      <c r="J424" s="32" t="str">
        <f t="shared" si="14"/>
        <v/>
      </c>
    </row>
    <row r="425" spans="2:10" ht="20.100000000000001" customHeight="1" x14ac:dyDescent="0.2">
      <c r="B425" s="29"/>
      <c r="C425" s="4"/>
      <c r="D425" s="212"/>
      <c r="E425" s="213"/>
      <c r="F425" s="213"/>
      <c r="G425" s="213"/>
      <c r="H425" s="214"/>
      <c r="I425" s="32" t="str">
        <f t="shared" si="13"/>
        <v/>
      </c>
      <c r="J425" s="32" t="str">
        <f t="shared" si="14"/>
        <v/>
      </c>
    </row>
    <row r="426" spans="2:10" ht="20.100000000000001" customHeight="1" x14ac:dyDescent="0.2">
      <c r="B426" s="29"/>
      <c r="C426" s="4"/>
      <c r="D426" s="212"/>
      <c r="E426" s="213"/>
      <c r="F426" s="213"/>
      <c r="G426" s="213"/>
      <c r="H426" s="214"/>
      <c r="I426" s="32" t="str">
        <f t="shared" si="13"/>
        <v/>
      </c>
      <c r="J426" s="32" t="str">
        <f t="shared" si="14"/>
        <v/>
      </c>
    </row>
    <row r="427" spans="2:10" ht="20.100000000000001" customHeight="1" x14ac:dyDescent="0.2">
      <c r="B427" s="29"/>
      <c r="C427" s="4"/>
      <c r="D427" s="212"/>
      <c r="E427" s="213"/>
      <c r="F427" s="213"/>
      <c r="G427" s="213"/>
      <c r="H427" s="214"/>
      <c r="I427" s="32" t="str">
        <f t="shared" si="13"/>
        <v/>
      </c>
      <c r="J427" s="32" t="str">
        <f t="shared" si="14"/>
        <v/>
      </c>
    </row>
    <row r="428" spans="2:10" ht="20.100000000000001" customHeight="1" x14ac:dyDescent="0.2">
      <c r="B428" s="29"/>
      <c r="C428" s="4"/>
      <c r="D428" s="212"/>
      <c r="E428" s="213"/>
      <c r="F428" s="213"/>
      <c r="G428" s="213"/>
      <c r="H428" s="214"/>
      <c r="I428" s="32" t="str">
        <f t="shared" si="13"/>
        <v/>
      </c>
      <c r="J428" s="32" t="str">
        <f t="shared" si="14"/>
        <v/>
      </c>
    </row>
    <row r="429" spans="2:10" ht="20.100000000000001" customHeight="1" x14ac:dyDescent="0.2">
      <c r="B429" s="29"/>
      <c r="C429" s="4"/>
      <c r="D429" s="212"/>
      <c r="E429" s="213"/>
      <c r="F429" s="213"/>
      <c r="G429" s="213"/>
      <c r="H429" s="214"/>
      <c r="I429" s="32" t="str">
        <f t="shared" si="13"/>
        <v/>
      </c>
      <c r="J429" s="32" t="str">
        <f t="shared" si="14"/>
        <v/>
      </c>
    </row>
    <row r="430" spans="2:10" ht="20.100000000000001" customHeight="1" x14ac:dyDescent="0.2">
      <c r="B430" s="29"/>
      <c r="C430" s="4"/>
      <c r="D430" s="212"/>
      <c r="E430" s="213"/>
      <c r="F430" s="213"/>
      <c r="G430" s="213"/>
      <c r="H430" s="214"/>
      <c r="I430" s="32" t="str">
        <f t="shared" si="13"/>
        <v/>
      </c>
      <c r="J430" s="32" t="str">
        <f t="shared" si="14"/>
        <v/>
      </c>
    </row>
    <row r="431" spans="2:10" ht="20.100000000000001" customHeight="1" x14ac:dyDescent="0.2">
      <c r="B431" s="29"/>
      <c r="C431" s="4"/>
      <c r="D431" s="212"/>
      <c r="E431" s="213"/>
      <c r="F431" s="213"/>
      <c r="G431" s="213"/>
      <c r="H431" s="214"/>
      <c r="I431" s="32" t="str">
        <f t="shared" si="13"/>
        <v/>
      </c>
      <c r="J431" s="32" t="str">
        <f t="shared" si="14"/>
        <v/>
      </c>
    </row>
    <row r="432" spans="2:10" ht="20.100000000000001" customHeight="1" x14ac:dyDescent="0.2">
      <c r="B432" s="29"/>
      <c r="C432" s="4"/>
      <c r="D432" s="212"/>
      <c r="E432" s="213"/>
      <c r="F432" s="213"/>
      <c r="G432" s="213"/>
      <c r="H432" s="214"/>
      <c r="I432" s="32" t="str">
        <f t="shared" si="13"/>
        <v/>
      </c>
      <c r="J432" s="32" t="str">
        <f t="shared" si="14"/>
        <v/>
      </c>
    </row>
    <row r="433" spans="2:10" ht="20.100000000000001" customHeight="1" x14ac:dyDescent="0.2">
      <c r="B433" s="29"/>
      <c r="C433" s="4"/>
      <c r="D433" s="212"/>
      <c r="E433" s="213"/>
      <c r="F433" s="213"/>
      <c r="G433" s="213"/>
      <c r="H433" s="214"/>
      <c r="I433" s="32" t="str">
        <f t="shared" si="13"/>
        <v/>
      </c>
      <c r="J433" s="32" t="str">
        <f t="shared" si="14"/>
        <v/>
      </c>
    </row>
    <row r="434" spans="2:10" ht="20.100000000000001" customHeight="1" x14ac:dyDescent="0.2">
      <c r="B434" s="29"/>
      <c r="C434" s="4"/>
      <c r="D434" s="212"/>
      <c r="E434" s="213"/>
      <c r="F434" s="213"/>
      <c r="G434" s="213"/>
      <c r="H434" s="214"/>
      <c r="I434" s="32" t="str">
        <f t="shared" si="13"/>
        <v/>
      </c>
      <c r="J434" s="32" t="str">
        <f t="shared" si="14"/>
        <v/>
      </c>
    </row>
    <row r="435" spans="2:10" ht="20.100000000000001" customHeight="1" x14ac:dyDescent="0.2">
      <c r="B435" s="29"/>
      <c r="C435" s="4"/>
      <c r="D435" s="212"/>
      <c r="E435" s="213"/>
      <c r="F435" s="213"/>
      <c r="G435" s="213"/>
      <c r="H435" s="214"/>
      <c r="I435" s="32" t="str">
        <f t="shared" si="13"/>
        <v/>
      </c>
      <c r="J435" s="32" t="str">
        <f t="shared" si="14"/>
        <v/>
      </c>
    </row>
    <row r="436" spans="2:10" ht="20.100000000000001" customHeight="1" x14ac:dyDescent="0.2">
      <c r="B436" s="29"/>
      <c r="C436" s="4"/>
      <c r="D436" s="212"/>
      <c r="E436" s="213"/>
      <c r="F436" s="213"/>
      <c r="G436" s="213"/>
      <c r="H436" s="214"/>
      <c r="I436" s="32" t="str">
        <f t="shared" si="13"/>
        <v/>
      </c>
      <c r="J436" s="32" t="str">
        <f t="shared" si="14"/>
        <v/>
      </c>
    </row>
    <row r="437" spans="2:10" ht="20.100000000000001" customHeight="1" x14ac:dyDescent="0.2">
      <c r="B437" s="29"/>
      <c r="C437" s="4"/>
      <c r="D437" s="212"/>
      <c r="E437" s="213"/>
      <c r="F437" s="213"/>
      <c r="G437" s="213"/>
      <c r="H437" s="214"/>
      <c r="I437" s="32" t="str">
        <f t="shared" si="13"/>
        <v/>
      </c>
      <c r="J437" s="32" t="str">
        <f t="shared" si="14"/>
        <v/>
      </c>
    </row>
    <row r="438" spans="2:10" ht="20.100000000000001" customHeight="1" x14ac:dyDescent="0.2">
      <c r="B438" s="29"/>
      <c r="C438" s="4"/>
      <c r="D438" s="212"/>
      <c r="E438" s="213"/>
      <c r="F438" s="213"/>
      <c r="G438" s="213"/>
      <c r="H438" s="214"/>
      <c r="I438" s="32" t="str">
        <f t="shared" si="13"/>
        <v/>
      </c>
      <c r="J438" s="32" t="str">
        <f t="shared" si="14"/>
        <v/>
      </c>
    </row>
    <row r="439" spans="2:10" ht="20.100000000000001" customHeight="1" x14ac:dyDescent="0.2">
      <c r="B439" s="29"/>
      <c r="C439" s="4"/>
      <c r="D439" s="212"/>
      <c r="E439" s="213"/>
      <c r="F439" s="213"/>
      <c r="G439" s="213"/>
      <c r="H439" s="214"/>
      <c r="I439" s="32" t="str">
        <f t="shared" si="13"/>
        <v/>
      </c>
      <c r="J439" s="32" t="str">
        <f t="shared" si="14"/>
        <v/>
      </c>
    </row>
    <row r="440" spans="2:10" ht="20.100000000000001" customHeight="1" x14ac:dyDescent="0.2">
      <c r="B440" s="29"/>
      <c r="C440" s="4"/>
      <c r="D440" s="212"/>
      <c r="E440" s="213"/>
      <c r="F440" s="213"/>
      <c r="G440" s="213"/>
      <c r="H440" s="214"/>
      <c r="I440" s="32" t="str">
        <f t="shared" si="13"/>
        <v/>
      </c>
      <c r="J440" s="32" t="str">
        <f t="shared" si="14"/>
        <v/>
      </c>
    </row>
    <row r="441" spans="2:10" ht="20.100000000000001" customHeight="1" x14ac:dyDescent="0.2">
      <c r="B441" s="29"/>
      <c r="C441" s="4"/>
      <c r="D441" s="212"/>
      <c r="E441" s="213"/>
      <c r="F441" s="213"/>
      <c r="G441" s="213"/>
      <c r="H441" s="214"/>
      <c r="I441" s="32" t="str">
        <f t="shared" si="13"/>
        <v/>
      </c>
      <c r="J441" s="32" t="str">
        <f t="shared" si="14"/>
        <v/>
      </c>
    </row>
    <row r="442" spans="2:10" ht="20.100000000000001" customHeight="1" x14ac:dyDescent="0.2">
      <c r="B442" s="29"/>
      <c r="C442" s="4"/>
      <c r="D442" s="212"/>
      <c r="E442" s="213"/>
      <c r="F442" s="213"/>
      <c r="G442" s="213"/>
      <c r="H442" s="214"/>
      <c r="I442" s="32" t="str">
        <f t="shared" si="13"/>
        <v/>
      </c>
      <c r="J442" s="32" t="str">
        <f t="shared" si="14"/>
        <v/>
      </c>
    </row>
    <row r="443" spans="2:10" ht="20.100000000000001" customHeight="1" x14ac:dyDescent="0.2">
      <c r="B443" s="29"/>
      <c r="C443" s="4"/>
      <c r="D443" s="212"/>
      <c r="E443" s="213"/>
      <c r="F443" s="213"/>
      <c r="G443" s="213"/>
      <c r="H443" s="214"/>
      <c r="I443" s="32" t="str">
        <f t="shared" si="13"/>
        <v/>
      </c>
      <c r="J443" s="32" t="str">
        <f t="shared" si="14"/>
        <v/>
      </c>
    </row>
    <row r="444" spans="2:10" ht="20.100000000000001" customHeight="1" x14ac:dyDescent="0.2">
      <c r="B444" s="29"/>
      <c r="C444" s="4"/>
      <c r="D444" s="212"/>
      <c r="E444" s="213"/>
      <c r="F444" s="213"/>
      <c r="G444" s="213"/>
      <c r="H444" s="214"/>
      <c r="I444" s="32" t="str">
        <f t="shared" si="13"/>
        <v/>
      </c>
      <c r="J444" s="32" t="str">
        <f t="shared" si="14"/>
        <v/>
      </c>
    </row>
    <row r="445" spans="2:10" ht="20.100000000000001" customHeight="1" x14ac:dyDescent="0.2">
      <c r="B445" s="29"/>
      <c r="C445" s="4"/>
      <c r="D445" s="212"/>
      <c r="E445" s="213"/>
      <c r="F445" s="213"/>
      <c r="G445" s="213"/>
      <c r="H445" s="214"/>
      <c r="I445" s="32" t="str">
        <f t="shared" si="13"/>
        <v/>
      </c>
      <c r="J445" s="32" t="str">
        <f t="shared" si="14"/>
        <v/>
      </c>
    </row>
    <row r="446" spans="2:10" ht="20.100000000000001" customHeight="1" x14ac:dyDescent="0.2">
      <c r="B446" s="29"/>
      <c r="C446" s="4"/>
      <c r="D446" s="212"/>
      <c r="E446" s="213"/>
      <c r="F446" s="213"/>
      <c r="G446" s="213"/>
      <c r="H446" s="214"/>
      <c r="I446" s="32" t="str">
        <f t="shared" si="13"/>
        <v/>
      </c>
      <c r="J446" s="32" t="str">
        <f t="shared" si="14"/>
        <v/>
      </c>
    </row>
    <row r="447" spans="2:10" ht="20.100000000000001" customHeight="1" x14ac:dyDescent="0.2">
      <c r="B447" s="29"/>
      <c r="C447" s="4"/>
      <c r="D447" s="212"/>
      <c r="E447" s="213"/>
      <c r="F447" s="213"/>
      <c r="G447" s="213"/>
      <c r="H447" s="214"/>
      <c r="I447" s="32" t="str">
        <f t="shared" si="13"/>
        <v/>
      </c>
      <c r="J447" s="32" t="str">
        <f t="shared" si="14"/>
        <v/>
      </c>
    </row>
    <row r="448" spans="2:10" ht="20.100000000000001" customHeight="1" x14ac:dyDescent="0.2">
      <c r="B448" s="29"/>
      <c r="C448" s="4"/>
      <c r="D448" s="212"/>
      <c r="E448" s="213"/>
      <c r="F448" s="213"/>
      <c r="G448" s="213"/>
      <c r="H448" s="214"/>
      <c r="I448" s="32" t="str">
        <f t="shared" si="13"/>
        <v/>
      </c>
      <c r="J448" s="32" t="str">
        <f t="shared" si="14"/>
        <v/>
      </c>
    </row>
    <row r="449" spans="2:10" ht="20.100000000000001" customHeight="1" x14ac:dyDescent="0.2">
      <c r="B449" s="29"/>
      <c r="C449" s="4"/>
      <c r="D449" s="212"/>
      <c r="E449" s="213"/>
      <c r="F449" s="213"/>
      <c r="G449" s="213"/>
      <c r="H449" s="214"/>
      <c r="I449" s="32" t="str">
        <f t="shared" si="13"/>
        <v/>
      </c>
      <c r="J449" s="32" t="str">
        <f t="shared" si="14"/>
        <v/>
      </c>
    </row>
    <row r="450" spans="2:10" ht="20.100000000000001" customHeight="1" x14ac:dyDescent="0.2">
      <c r="B450" s="29"/>
      <c r="C450" s="4"/>
      <c r="D450" s="212"/>
      <c r="E450" s="213"/>
      <c r="F450" s="213"/>
      <c r="G450" s="213"/>
      <c r="H450" s="214"/>
      <c r="I450" s="32" t="str">
        <f t="shared" si="13"/>
        <v/>
      </c>
      <c r="J450" s="32" t="str">
        <f t="shared" si="14"/>
        <v/>
      </c>
    </row>
    <row r="451" spans="2:10" ht="20.100000000000001" customHeight="1" x14ac:dyDescent="0.2">
      <c r="B451" s="29"/>
      <c r="C451" s="4"/>
      <c r="D451" s="212"/>
      <c r="E451" s="213"/>
      <c r="F451" s="213"/>
      <c r="G451" s="213"/>
      <c r="H451" s="214"/>
      <c r="I451" s="32" t="str">
        <f t="shared" si="13"/>
        <v/>
      </c>
      <c r="J451" s="32" t="str">
        <f t="shared" si="14"/>
        <v/>
      </c>
    </row>
    <row r="452" spans="2:10" ht="20.100000000000001" customHeight="1" x14ac:dyDescent="0.2">
      <c r="B452" s="29"/>
      <c r="C452" s="4"/>
      <c r="D452" s="212"/>
      <c r="E452" s="213"/>
      <c r="F452" s="213"/>
      <c r="G452" s="213"/>
      <c r="H452" s="214"/>
      <c r="I452" s="32" t="str">
        <f t="shared" si="13"/>
        <v/>
      </c>
      <c r="J452" s="32" t="str">
        <f t="shared" si="14"/>
        <v/>
      </c>
    </row>
    <row r="453" spans="2:10" ht="20.100000000000001" customHeight="1" x14ac:dyDescent="0.2">
      <c r="B453" s="29"/>
      <c r="C453" s="4"/>
      <c r="D453" s="212"/>
      <c r="E453" s="213"/>
      <c r="F453" s="213"/>
      <c r="G453" s="213"/>
      <c r="H453" s="214"/>
      <c r="I453" s="32" t="str">
        <f t="shared" ref="I453:I516" si="15">IFERROR(AVERAGE(INDEX($D:$H,ROW(),)),"")</f>
        <v/>
      </c>
      <c r="J453" s="32" t="str">
        <f t="shared" si="14"/>
        <v/>
      </c>
    </row>
    <row r="454" spans="2:10" ht="20.100000000000001" customHeight="1" x14ac:dyDescent="0.2">
      <c r="B454" s="29"/>
      <c r="C454" s="4"/>
      <c r="D454" s="212"/>
      <c r="E454" s="213"/>
      <c r="F454" s="213"/>
      <c r="G454" s="213"/>
      <c r="H454" s="214"/>
      <c r="I454" s="32" t="str">
        <f t="shared" si="15"/>
        <v/>
      </c>
      <c r="J454" s="32" t="str">
        <f t="shared" si="14"/>
        <v/>
      </c>
    </row>
    <row r="455" spans="2:10" ht="20.100000000000001" customHeight="1" x14ac:dyDescent="0.2">
      <c r="B455" s="29"/>
      <c r="C455" s="4"/>
      <c r="D455" s="212"/>
      <c r="E455" s="213"/>
      <c r="F455" s="213"/>
      <c r="G455" s="213"/>
      <c r="H455" s="214"/>
      <c r="I455" s="32" t="str">
        <f t="shared" si="15"/>
        <v/>
      </c>
      <c r="J455" s="32" t="str">
        <f t="shared" si="14"/>
        <v/>
      </c>
    </row>
    <row r="456" spans="2:10" ht="20.100000000000001" customHeight="1" x14ac:dyDescent="0.2">
      <c r="B456" s="29"/>
      <c r="C456" s="4"/>
      <c r="D456" s="212"/>
      <c r="E456" s="213"/>
      <c r="F456" s="213"/>
      <c r="G456" s="213"/>
      <c r="H456" s="214"/>
      <c r="I456" s="32" t="str">
        <f t="shared" si="15"/>
        <v/>
      </c>
      <c r="J456" s="32" t="str">
        <f t="shared" si="14"/>
        <v/>
      </c>
    </row>
    <row r="457" spans="2:10" ht="20.100000000000001" customHeight="1" x14ac:dyDescent="0.2">
      <c r="B457" s="29"/>
      <c r="C457" s="4"/>
      <c r="D457" s="212"/>
      <c r="E457" s="213"/>
      <c r="F457" s="213"/>
      <c r="G457" s="213"/>
      <c r="H457" s="214"/>
      <c r="I457" s="32" t="str">
        <f t="shared" si="15"/>
        <v/>
      </c>
      <c r="J457" s="32" t="str">
        <f t="shared" si="14"/>
        <v/>
      </c>
    </row>
    <row r="458" spans="2:10" ht="20.100000000000001" customHeight="1" x14ac:dyDescent="0.2">
      <c r="B458" s="29"/>
      <c r="C458" s="4"/>
      <c r="D458" s="212"/>
      <c r="E458" s="213"/>
      <c r="F458" s="213"/>
      <c r="G458" s="213"/>
      <c r="H458" s="214"/>
      <c r="I458" s="32" t="str">
        <f t="shared" si="15"/>
        <v/>
      </c>
      <c r="J458" s="32" t="str">
        <f t="shared" si="14"/>
        <v/>
      </c>
    </row>
    <row r="459" spans="2:10" ht="20.100000000000001" customHeight="1" x14ac:dyDescent="0.2">
      <c r="B459" s="29"/>
      <c r="C459" s="4"/>
      <c r="D459" s="212"/>
      <c r="E459" s="213"/>
      <c r="F459" s="213"/>
      <c r="G459" s="213"/>
      <c r="H459" s="214"/>
      <c r="I459" s="32" t="str">
        <f t="shared" si="15"/>
        <v/>
      </c>
      <c r="J459" s="32" t="str">
        <f t="shared" ref="J459:J522" si="16">IF(ISBLANK(INDEX(D:H,ROW(),1)),"",MIN(INDEX($D:$H,ROW(),)))</f>
        <v/>
      </c>
    </row>
    <row r="460" spans="2:10" ht="20.100000000000001" customHeight="1" x14ac:dyDescent="0.2">
      <c r="B460" s="29"/>
      <c r="C460" s="4"/>
      <c r="D460" s="212"/>
      <c r="E460" s="213"/>
      <c r="F460" s="213"/>
      <c r="G460" s="213"/>
      <c r="H460" s="214"/>
      <c r="I460" s="32" t="str">
        <f t="shared" si="15"/>
        <v/>
      </c>
      <c r="J460" s="32" t="str">
        <f t="shared" si="16"/>
        <v/>
      </c>
    </row>
    <row r="461" spans="2:10" ht="20.100000000000001" customHeight="1" x14ac:dyDescent="0.2">
      <c r="B461" s="29"/>
      <c r="C461" s="4"/>
      <c r="D461" s="212"/>
      <c r="E461" s="213"/>
      <c r="F461" s="213"/>
      <c r="G461" s="213"/>
      <c r="H461" s="214"/>
      <c r="I461" s="32" t="str">
        <f t="shared" si="15"/>
        <v/>
      </c>
      <c r="J461" s="32" t="str">
        <f t="shared" si="16"/>
        <v/>
      </c>
    </row>
    <row r="462" spans="2:10" ht="20.100000000000001" customHeight="1" x14ac:dyDescent="0.2">
      <c r="B462" s="29"/>
      <c r="C462" s="4"/>
      <c r="D462" s="212"/>
      <c r="E462" s="213"/>
      <c r="F462" s="213"/>
      <c r="G462" s="213"/>
      <c r="H462" s="214"/>
      <c r="I462" s="32" t="str">
        <f t="shared" si="15"/>
        <v/>
      </c>
      <c r="J462" s="32" t="str">
        <f t="shared" si="16"/>
        <v/>
      </c>
    </row>
    <row r="463" spans="2:10" ht="20.100000000000001" customHeight="1" x14ac:dyDescent="0.2">
      <c r="B463" s="29"/>
      <c r="C463" s="4"/>
      <c r="D463" s="212"/>
      <c r="E463" s="213"/>
      <c r="F463" s="213"/>
      <c r="G463" s="213"/>
      <c r="H463" s="214"/>
      <c r="I463" s="32" t="str">
        <f t="shared" si="15"/>
        <v/>
      </c>
      <c r="J463" s="32" t="str">
        <f t="shared" si="16"/>
        <v/>
      </c>
    </row>
    <row r="464" spans="2:10" ht="20.100000000000001" customHeight="1" x14ac:dyDescent="0.2">
      <c r="B464" s="29"/>
      <c r="C464" s="4"/>
      <c r="D464" s="212"/>
      <c r="E464" s="213"/>
      <c r="F464" s="213"/>
      <c r="G464" s="213"/>
      <c r="H464" s="214"/>
      <c r="I464" s="32" t="str">
        <f t="shared" si="15"/>
        <v/>
      </c>
      <c r="J464" s="32" t="str">
        <f t="shared" si="16"/>
        <v/>
      </c>
    </row>
    <row r="465" spans="2:10" ht="20.100000000000001" customHeight="1" x14ac:dyDescent="0.2">
      <c r="B465" s="29"/>
      <c r="C465" s="4"/>
      <c r="D465" s="212"/>
      <c r="E465" s="213"/>
      <c r="F465" s="213"/>
      <c r="G465" s="213"/>
      <c r="H465" s="214"/>
      <c r="I465" s="32" t="str">
        <f t="shared" si="15"/>
        <v/>
      </c>
      <c r="J465" s="32" t="str">
        <f t="shared" si="16"/>
        <v/>
      </c>
    </row>
    <row r="466" spans="2:10" ht="20.100000000000001" customHeight="1" x14ac:dyDescent="0.2">
      <c r="B466" s="29"/>
      <c r="C466" s="4"/>
      <c r="D466" s="212"/>
      <c r="E466" s="213"/>
      <c r="F466" s="213"/>
      <c r="G466" s="213"/>
      <c r="H466" s="214"/>
      <c r="I466" s="32" t="str">
        <f t="shared" si="15"/>
        <v/>
      </c>
      <c r="J466" s="32" t="str">
        <f t="shared" si="16"/>
        <v/>
      </c>
    </row>
    <row r="467" spans="2:10" ht="20.100000000000001" customHeight="1" x14ac:dyDescent="0.2">
      <c r="B467" s="29"/>
      <c r="C467" s="4"/>
      <c r="D467" s="212"/>
      <c r="E467" s="213"/>
      <c r="F467" s="213"/>
      <c r="G467" s="213"/>
      <c r="H467" s="214"/>
      <c r="I467" s="32" t="str">
        <f t="shared" si="15"/>
        <v/>
      </c>
      <c r="J467" s="32" t="str">
        <f t="shared" si="16"/>
        <v/>
      </c>
    </row>
    <row r="468" spans="2:10" ht="20.100000000000001" customHeight="1" x14ac:dyDescent="0.2">
      <c r="B468" s="29"/>
      <c r="C468" s="4"/>
      <c r="D468" s="212"/>
      <c r="E468" s="213"/>
      <c r="F468" s="213"/>
      <c r="G468" s="213"/>
      <c r="H468" s="214"/>
      <c r="I468" s="32" t="str">
        <f t="shared" si="15"/>
        <v/>
      </c>
      <c r="J468" s="32" t="str">
        <f t="shared" si="16"/>
        <v/>
      </c>
    </row>
    <row r="469" spans="2:10" ht="20.100000000000001" customHeight="1" x14ac:dyDescent="0.2">
      <c r="B469" s="29"/>
      <c r="C469" s="4"/>
      <c r="D469" s="212"/>
      <c r="E469" s="213"/>
      <c r="F469" s="213"/>
      <c r="G469" s="213"/>
      <c r="H469" s="214"/>
      <c r="I469" s="32" t="str">
        <f t="shared" si="15"/>
        <v/>
      </c>
      <c r="J469" s="32" t="str">
        <f t="shared" si="16"/>
        <v/>
      </c>
    </row>
    <row r="470" spans="2:10" ht="20.100000000000001" customHeight="1" x14ac:dyDescent="0.2">
      <c r="B470" s="29"/>
      <c r="C470" s="4"/>
      <c r="D470" s="212"/>
      <c r="E470" s="213"/>
      <c r="F470" s="213"/>
      <c r="G470" s="213"/>
      <c r="H470" s="214"/>
      <c r="I470" s="32" t="str">
        <f t="shared" si="15"/>
        <v/>
      </c>
      <c r="J470" s="32" t="str">
        <f t="shared" si="16"/>
        <v/>
      </c>
    </row>
    <row r="471" spans="2:10" ht="20.100000000000001" customHeight="1" x14ac:dyDescent="0.2">
      <c r="B471" s="29"/>
      <c r="C471" s="4"/>
      <c r="D471" s="212"/>
      <c r="E471" s="213"/>
      <c r="F471" s="213"/>
      <c r="G471" s="213"/>
      <c r="H471" s="214"/>
      <c r="I471" s="32" t="str">
        <f t="shared" si="15"/>
        <v/>
      </c>
      <c r="J471" s="32" t="str">
        <f t="shared" si="16"/>
        <v/>
      </c>
    </row>
    <row r="472" spans="2:10" ht="20.100000000000001" customHeight="1" x14ac:dyDescent="0.2">
      <c r="B472" s="29"/>
      <c r="C472" s="4"/>
      <c r="D472" s="212"/>
      <c r="E472" s="213"/>
      <c r="F472" s="213"/>
      <c r="G472" s="213"/>
      <c r="H472" s="214"/>
      <c r="I472" s="32" t="str">
        <f t="shared" si="15"/>
        <v/>
      </c>
      <c r="J472" s="32" t="str">
        <f t="shared" si="16"/>
        <v/>
      </c>
    </row>
    <row r="473" spans="2:10" ht="20.100000000000001" customHeight="1" x14ac:dyDescent="0.2">
      <c r="B473" s="29"/>
      <c r="C473" s="4"/>
      <c r="D473" s="212"/>
      <c r="E473" s="213"/>
      <c r="F473" s="213"/>
      <c r="G473" s="213"/>
      <c r="H473" s="214"/>
      <c r="I473" s="32" t="str">
        <f t="shared" si="15"/>
        <v/>
      </c>
      <c r="J473" s="32" t="str">
        <f t="shared" si="16"/>
        <v/>
      </c>
    </row>
    <row r="474" spans="2:10" ht="20.100000000000001" customHeight="1" x14ac:dyDescent="0.2">
      <c r="B474" s="29"/>
      <c r="C474" s="4"/>
      <c r="D474" s="212"/>
      <c r="E474" s="213"/>
      <c r="F474" s="213"/>
      <c r="G474" s="213"/>
      <c r="H474" s="214"/>
      <c r="I474" s="32" t="str">
        <f t="shared" si="15"/>
        <v/>
      </c>
      <c r="J474" s="32" t="str">
        <f t="shared" si="16"/>
        <v/>
      </c>
    </row>
    <row r="475" spans="2:10" ht="20.100000000000001" customHeight="1" x14ac:dyDescent="0.2">
      <c r="B475" s="29"/>
      <c r="C475" s="4"/>
      <c r="D475" s="212"/>
      <c r="E475" s="213"/>
      <c r="F475" s="213"/>
      <c r="G475" s="213"/>
      <c r="H475" s="214"/>
      <c r="I475" s="32" t="str">
        <f t="shared" si="15"/>
        <v/>
      </c>
      <c r="J475" s="32" t="str">
        <f t="shared" si="16"/>
        <v/>
      </c>
    </row>
    <row r="476" spans="2:10" ht="20.100000000000001" customHeight="1" x14ac:dyDescent="0.2">
      <c r="B476" s="29"/>
      <c r="C476" s="4"/>
      <c r="D476" s="212"/>
      <c r="E476" s="213"/>
      <c r="F476" s="213"/>
      <c r="G476" s="213"/>
      <c r="H476" s="214"/>
      <c r="I476" s="32" t="str">
        <f t="shared" si="15"/>
        <v/>
      </c>
      <c r="J476" s="32" t="str">
        <f t="shared" si="16"/>
        <v/>
      </c>
    </row>
    <row r="477" spans="2:10" ht="20.100000000000001" customHeight="1" x14ac:dyDescent="0.2">
      <c r="B477" s="29"/>
      <c r="C477" s="4"/>
      <c r="D477" s="212"/>
      <c r="E477" s="213"/>
      <c r="F477" s="213"/>
      <c r="G477" s="213"/>
      <c r="H477" s="214"/>
      <c r="I477" s="32" t="str">
        <f t="shared" si="15"/>
        <v/>
      </c>
      <c r="J477" s="32" t="str">
        <f t="shared" si="16"/>
        <v/>
      </c>
    </row>
    <row r="478" spans="2:10" ht="20.100000000000001" customHeight="1" x14ac:dyDescent="0.2">
      <c r="B478" s="29"/>
      <c r="C478" s="4"/>
      <c r="D478" s="212"/>
      <c r="E478" s="213"/>
      <c r="F478" s="213"/>
      <c r="G478" s="213"/>
      <c r="H478" s="214"/>
      <c r="I478" s="32" t="str">
        <f t="shared" si="15"/>
        <v/>
      </c>
      <c r="J478" s="32" t="str">
        <f t="shared" si="16"/>
        <v/>
      </c>
    </row>
    <row r="479" spans="2:10" ht="20.100000000000001" customHeight="1" x14ac:dyDescent="0.2">
      <c r="B479" s="29"/>
      <c r="C479" s="4"/>
      <c r="D479" s="212"/>
      <c r="E479" s="213"/>
      <c r="F479" s="213"/>
      <c r="G479" s="213"/>
      <c r="H479" s="214"/>
      <c r="I479" s="32" t="str">
        <f t="shared" si="15"/>
        <v/>
      </c>
      <c r="J479" s="32" t="str">
        <f t="shared" si="16"/>
        <v/>
      </c>
    </row>
    <row r="480" spans="2:10" ht="20.100000000000001" customHeight="1" x14ac:dyDescent="0.2">
      <c r="B480" s="29"/>
      <c r="C480" s="4"/>
      <c r="D480" s="212"/>
      <c r="E480" s="213"/>
      <c r="F480" s="213"/>
      <c r="G480" s="213"/>
      <c r="H480" s="214"/>
      <c r="I480" s="32" t="str">
        <f t="shared" si="15"/>
        <v/>
      </c>
      <c r="J480" s="32" t="str">
        <f t="shared" si="16"/>
        <v/>
      </c>
    </row>
    <row r="481" spans="2:10" ht="20.100000000000001" customHeight="1" x14ac:dyDescent="0.2">
      <c r="B481" s="29"/>
      <c r="C481" s="4"/>
      <c r="D481" s="212"/>
      <c r="E481" s="213"/>
      <c r="F481" s="213"/>
      <c r="G481" s="213"/>
      <c r="H481" s="214"/>
      <c r="I481" s="32" t="str">
        <f t="shared" si="15"/>
        <v/>
      </c>
      <c r="J481" s="32" t="str">
        <f t="shared" si="16"/>
        <v/>
      </c>
    </row>
    <row r="482" spans="2:10" ht="20.100000000000001" customHeight="1" x14ac:dyDescent="0.2">
      <c r="B482" s="29"/>
      <c r="C482" s="4"/>
      <c r="D482" s="212"/>
      <c r="E482" s="213"/>
      <c r="F482" s="213"/>
      <c r="G482" s="213"/>
      <c r="H482" s="214"/>
      <c r="I482" s="32" t="str">
        <f t="shared" si="15"/>
        <v/>
      </c>
      <c r="J482" s="32" t="str">
        <f t="shared" si="16"/>
        <v/>
      </c>
    </row>
    <row r="483" spans="2:10" ht="20.100000000000001" customHeight="1" x14ac:dyDescent="0.2">
      <c r="B483" s="29"/>
      <c r="C483" s="4"/>
      <c r="D483" s="212"/>
      <c r="E483" s="213"/>
      <c r="F483" s="213"/>
      <c r="G483" s="213"/>
      <c r="H483" s="214"/>
      <c r="I483" s="32" t="str">
        <f t="shared" si="15"/>
        <v/>
      </c>
      <c r="J483" s="32" t="str">
        <f t="shared" si="16"/>
        <v/>
      </c>
    </row>
    <row r="484" spans="2:10" ht="20.100000000000001" customHeight="1" x14ac:dyDescent="0.2">
      <c r="B484" s="29"/>
      <c r="C484" s="4"/>
      <c r="D484" s="212"/>
      <c r="E484" s="213"/>
      <c r="F484" s="213"/>
      <c r="G484" s="213"/>
      <c r="H484" s="214"/>
      <c r="I484" s="32" t="str">
        <f t="shared" si="15"/>
        <v/>
      </c>
      <c r="J484" s="32" t="str">
        <f t="shared" si="16"/>
        <v/>
      </c>
    </row>
    <row r="485" spans="2:10" ht="20.100000000000001" customHeight="1" x14ac:dyDescent="0.2">
      <c r="B485" s="29"/>
      <c r="C485" s="4"/>
      <c r="D485" s="212"/>
      <c r="E485" s="213"/>
      <c r="F485" s="213"/>
      <c r="G485" s="213"/>
      <c r="H485" s="214"/>
      <c r="I485" s="32" t="str">
        <f t="shared" si="15"/>
        <v/>
      </c>
      <c r="J485" s="32" t="str">
        <f t="shared" si="16"/>
        <v/>
      </c>
    </row>
    <row r="486" spans="2:10" ht="20.100000000000001" customHeight="1" x14ac:dyDescent="0.2">
      <c r="B486" s="29"/>
      <c r="C486" s="4"/>
      <c r="D486" s="212"/>
      <c r="E486" s="213"/>
      <c r="F486" s="213"/>
      <c r="G486" s="213"/>
      <c r="H486" s="214"/>
      <c r="I486" s="32" t="str">
        <f t="shared" si="15"/>
        <v/>
      </c>
      <c r="J486" s="32" t="str">
        <f t="shared" si="16"/>
        <v/>
      </c>
    </row>
    <row r="487" spans="2:10" ht="20.100000000000001" customHeight="1" x14ac:dyDescent="0.2">
      <c r="B487" s="29"/>
      <c r="C487" s="4"/>
      <c r="D487" s="212"/>
      <c r="E487" s="213"/>
      <c r="F487" s="213"/>
      <c r="G487" s="213"/>
      <c r="H487" s="214"/>
      <c r="I487" s="32" t="str">
        <f t="shared" si="15"/>
        <v/>
      </c>
      <c r="J487" s="32" t="str">
        <f t="shared" si="16"/>
        <v/>
      </c>
    </row>
    <row r="488" spans="2:10" ht="20.100000000000001" customHeight="1" x14ac:dyDescent="0.2">
      <c r="B488" s="29"/>
      <c r="C488" s="4"/>
      <c r="D488" s="212"/>
      <c r="E488" s="213"/>
      <c r="F488" s="213"/>
      <c r="G488" s="213"/>
      <c r="H488" s="214"/>
      <c r="I488" s="32" t="str">
        <f t="shared" si="15"/>
        <v/>
      </c>
      <c r="J488" s="32" t="str">
        <f t="shared" si="16"/>
        <v/>
      </c>
    </row>
    <row r="489" spans="2:10" ht="20.100000000000001" customHeight="1" x14ac:dyDescent="0.2">
      <c r="B489" s="29"/>
      <c r="C489" s="4"/>
      <c r="D489" s="212"/>
      <c r="E489" s="213"/>
      <c r="F489" s="213"/>
      <c r="G489" s="213"/>
      <c r="H489" s="214"/>
      <c r="I489" s="32" t="str">
        <f t="shared" si="15"/>
        <v/>
      </c>
      <c r="J489" s="32" t="str">
        <f t="shared" si="16"/>
        <v/>
      </c>
    </row>
    <row r="490" spans="2:10" ht="20.100000000000001" customHeight="1" x14ac:dyDescent="0.2">
      <c r="B490" s="29"/>
      <c r="C490" s="4"/>
      <c r="D490" s="212"/>
      <c r="E490" s="213"/>
      <c r="F490" s="213"/>
      <c r="G490" s="213"/>
      <c r="H490" s="214"/>
      <c r="I490" s="32" t="str">
        <f t="shared" si="15"/>
        <v/>
      </c>
      <c r="J490" s="32" t="str">
        <f t="shared" si="16"/>
        <v/>
      </c>
    </row>
    <row r="491" spans="2:10" ht="20.100000000000001" customHeight="1" x14ac:dyDescent="0.2">
      <c r="B491" s="29"/>
      <c r="C491" s="4"/>
      <c r="D491" s="212"/>
      <c r="E491" s="213"/>
      <c r="F491" s="213"/>
      <c r="G491" s="213"/>
      <c r="H491" s="214"/>
      <c r="I491" s="32" t="str">
        <f t="shared" si="15"/>
        <v/>
      </c>
      <c r="J491" s="32" t="str">
        <f t="shared" si="16"/>
        <v/>
      </c>
    </row>
    <row r="492" spans="2:10" ht="20.100000000000001" customHeight="1" x14ac:dyDescent="0.2">
      <c r="B492" s="29"/>
      <c r="C492" s="4"/>
      <c r="D492" s="212"/>
      <c r="E492" s="213"/>
      <c r="F492" s="213"/>
      <c r="G492" s="213"/>
      <c r="H492" s="214"/>
      <c r="I492" s="32" t="str">
        <f t="shared" si="15"/>
        <v/>
      </c>
      <c r="J492" s="32" t="str">
        <f t="shared" si="16"/>
        <v/>
      </c>
    </row>
    <row r="493" spans="2:10" ht="20.100000000000001" customHeight="1" x14ac:dyDescent="0.2">
      <c r="B493" s="29"/>
      <c r="C493" s="4"/>
      <c r="D493" s="212"/>
      <c r="E493" s="213"/>
      <c r="F493" s="213"/>
      <c r="G493" s="213"/>
      <c r="H493" s="214"/>
      <c r="I493" s="32" t="str">
        <f t="shared" si="15"/>
        <v/>
      </c>
      <c r="J493" s="32" t="str">
        <f t="shared" si="16"/>
        <v/>
      </c>
    </row>
    <row r="494" spans="2:10" ht="20.100000000000001" customHeight="1" x14ac:dyDescent="0.2">
      <c r="B494" s="29"/>
      <c r="C494" s="4"/>
      <c r="D494" s="212"/>
      <c r="E494" s="213"/>
      <c r="F494" s="213"/>
      <c r="G494" s="213"/>
      <c r="H494" s="214"/>
      <c r="I494" s="32" t="str">
        <f t="shared" si="15"/>
        <v/>
      </c>
      <c r="J494" s="32" t="str">
        <f t="shared" si="16"/>
        <v/>
      </c>
    </row>
    <row r="495" spans="2:10" ht="20.100000000000001" customHeight="1" x14ac:dyDescent="0.2">
      <c r="B495" s="29"/>
      <c r="C495" s="4"/>
      <c r="D495" s="212"/>
      <c r="E495" s="213"/>
      <c r="F495" s="213"/>
      <c r="G495" s="213"/>
      <c r="H495" s="214"/>
      <c r="I495" s="32" t="str">
        <f t="shared" si="15"/>
        <v/>
      </c>
      <c r="J495" s="32" t="str">
        <f t="shared" si="16"/>
        <v/>
      </c>
    </row>
    <row r="496" spans="2:10" ht="20.100000000000001" customHeight="1" x14ac:dyDescent="0.2">
      <c r="B496" s="29"/>
      <c r="C496" s="4"/>
      <c r="D496" s="212"/>
      <c r="E496" s="213"/>
      <c r="F496" s="213"/>
      <c r="G496" s="213"/>
      <c r="H496" s="214"/>
      <c r="I496" s="32" t="str">
        <f t="shared" si="15"/>
        <v/>
      </c>
      <c r="J496" s="32" t="str">
        <f t="shared" si="16"/>
        <v/>
      </c>
    </row>
    <row r="497" spans="2:10" ht="20.100000000000001" customHeight="1" x14ac:dyDescent="0.2">
      <c r="B497" s="29"/>
      <c r="C497" s="4"/>
      <c r="D497" s="212"/>
      <c r="E497" s="213"/>
      <c r="F497" s="213"/>
      <c r="G497" s="213"/>
      <c r="H497" s="214"/>
      <c r="I497" s="32" t="str">
        <f t="shared" si="15"/>
        <v/>
      </c>
      <c r="J497" s="32" t="str">
        <f t="shared" si="16"/>
        <v/>
      </c>
    </row>
    <row r="498" spans="2:10" ht="20.100000000000001" customHeight="1" x14ac:dyDescent="0.2">
      <c r="B498" s="29"/>
      <c r="C498" s="4"/>
      <c r="D498" s="212"/>
      <c r="E498" s="213"/>
      <c r="F498" s="213"/>
      <c r="G498" s="213"/>
      <c r="H498" s="214"/>
      <c r="I498" s="32" t="str">
        <f t="shared" si="15"/>
        <v/>
      </c>
      <c r="J498" s="32" t="str">
        <f t="shared" si="16"/>
        <v/>
      </c>
    </row>
    <row r="499" spans="2:10" ht="20.100000000000001" customHeight="1" x14ac:dyDescent="0.2">
      <c r="B499" s="29"/>
      <c r="C499" s="4"/>
      <c r="D499" s="212"/>
      <c r="E499" s="213"/>
      <c r="F499" s="213"/>
      <c r="G499" s="213"/>
      <c r="H499" s="214"/>
      <c r="I499" s="32" t="str">
        <f t="shared" si="15"/>
        <v/>
      </c>
      <c r="J499" s="32" t="str">
        <f t="shared" si="16"/>
        <v/>
      </c>
    </row>
    <row r="500" spans="2:10" ht="20.100000000000001" customHeight="1" x14ac:dyDescent="0.2">
      <c r="B500" s="29"/>
      <c r="C500" s="4"/>
      <c r="D500" s="212"/>
      <c r="E500" s="213"/>
      <c r="F500" s="213"/>
      <c r="G500" s="213"/>
      <c r="H500" s="214"/>
      <c r="I500" s="32" t="str">
        <f t="shared" si="15"/>
        <v/>
      </c>
      <c r="J500" s="32" t="str">
        <f t="shared" si="16"/>
        <v/>
      </c>
    </row>
    <row r="501" spans="2:10" ht="20.100000000000001" customHeight="1" x14ac:dyDescent="0.2">
      <c r="B501" s="29"/>
      <c r="C501" s="4"/>
      <c r="D501" s="212"/>
      <c r="E501" s="213"/>
      <c r="F501" s="213"/>
      <c r="G501" s="213"/>
      <c r="H501" s="214"/>
      <c r="I501" s="32" t="str">
        <f t="shared" si="15"/>
        <v/>
      </c>
      <c r="J501" s="32" t="str">
        <f t="shared" si="16"/>
        <v/>
      </c>
    </row>
    <row r="502" spans="2:10" ht="20.100000000000001" customHeight="1" x14ac:dyDescent="0.2">
      <c r="B502" s="29"/>
      <c r="C502" s="4"/>
      <c r="D502" s="212"/>
      <c r="E502" s="213"/>
      <c r="F502" s="213"/>
      <c r="G502" s="213"/>
      <c r="H502" s="214"/>
      <c r="I502" s="32" t="str">
        <f t="shared" si="15"/>
        <v/>
      </c>
      <c r="J502" s="32" t="str">
        <f t="shared" si="16"/>
        <v/>
      </c>
    </row>
    <row r="503" spans="2:10" ht="20.100000000000001" customHeight="1" x14ac:dyDescent="0.2">
      <c r="B503" s="29"/>
      <c r="C503" s="4"/>
      <c r="D503" s="212"/>
      <c r="E503" s="213"/>
      <c r="F503" s="213"/>
      <c r="G503" s="213"/>
      <c r="H503" s="214"/>
      <c r="I503" s="32" t="str">
        <f t="shared" si="15"/>
        <v/>
      </c>
      <c r="J503" s="32" t="str">
        <f t="shared" si="16"/>
        <v/>
      </c>
    </row>
    <row r="504" spans="2:10" ht="20.100000000000001" customHeight="1" x14ac:dyDescent="0.2">
      <c r="B504" s="29"/>
      <c r="C504" s="4"/>
      <c r="D504" s="212"/>
      <c r="E504" s="213"/>
      <c r="F504" s="213"/>
      <c r="G504" s="213"/>
      <c r="H504" s="214"/>
      <c r="I504" s="32" t="str">
        <f t="shared" si="15"/>
        <v/>
      </c>
      <c r="J504" s="32" t="str">
        <f t="shared" si="16"/>
        <v/>
      </c>
    </row>
    <row r="505" spans="2:10" ht="20.100000000000001" customHeight="1" x14ac:dyDescent="0.2">
      <c r="B505" s="29"/>
      <c r="C505" s="4"/>
      <c r="D505" s="212"/>
      <c r="E505" s="213"/>
      <c r="F505" s="213"/>
      <c r="G505" s="213"/>
      <c r="H505" s="214"/>
      <c r="I505" s="32" t="str">
        <f t="shared" si="15"/>
        <v/>
      </c>
      <c r="J505" s="32" t="str">
        <f t="shared" si="16"/>
        <v/>
      </c>
    </row>
    <row r="506" spans="2:10" ht="20.100000000000001" customHeight="1" x14ac:dyDescent="0.2">
      <c r="B506" s="29"/>
      <c r="C506" s="4"/>
      <c r="D506" s="212"/>
      <c r="E506" s="213"/>
      <c r="F506" s="213"/>
      <c r="G506" s="213"/>
      <c r="H506" s="214"/>
      <c r="I506" s="32" t="str">
        <f t="shared" si="15"/>
        <v/>
      </c>
      <c r="J506" s="32" t="str">
        <f t="shared" si="16"/>
        <v/>
      </c>
    </row>
    <row r="507" spans="2:10" ht="20.100000000000001" customHeight="1" x14ac:dyDescent="0.2">
      <c r="B507" s="29"/>
      <c r="C507" s="4"/>
      <c r="D507" s="212"/>
      <c r="E507" s="213"/>
      <c r="F507" s="213"/>
      <c r="G507" s="213"/>
      <c r="H507" s="214"/>
      <c r="I507" s="32" t="str">
        <f t="shared" si="15"/>
        <v/>
      </c>
      <c r="J507" s="32" t="str">
        <f t="shared" si="16"/>
        <v/>
      </c>
    </row>
    <row r="508" spans="2:10" ht="20.100000000000001" customHeight="1" x14ac:dyDescent="0.2">
      <c r="B508" s="29"/>
      <c r="C508" s="4"/>
      <c r="D508" s="212"/>
      <c r="E508" s="213"/>
      <c r="F508" s="213"/>
      <c r="G508" s="213"/>
      <c r="H508" s="214"/>
      <c r="I508" s="32" t="str">
        <f t="shared" si="15"/>
        <v/>
      </c>
      <c r="J508" s="32" t="str">
        <f t="shared" si="16"/>
        <v/>
      </c>
    </row>
    <row r="509" spans="2:10" ht="20.100000000000001" customHeight="1" x14ac:dyDescent="0.2">
      <c r="B509" s="29"/>
      <c r="C509" s="4"/>
      <c r="D509" s="212"/>
      <c r="E509" s="213"/>
      <c r="F509" s="213"/>
      <c r="G509" s="213"/>
      <c r="H509" s="214"/>
      <c r="I509" s="32" t="str">
        <f t="shared" si="15"/>
        <v/>
      </c>
      <c r="J509" s="32" t="str">
        <f t="shared" si="16"/>
        <v/>
      </c>
    </row>
    <row r="510" spans="2:10" ht="20.100000000000001" customHeight="1" x14ac:dyDescent="0.2">
      <c r="B510" s="29"/>
      <c r="C510" s="4"/>
      <c r="D510" s="212"/>
      <c r="E510" s="213"/>
      <c r="F510" s="213"/>
      <c r="G510" s="213"/>
      <c r="H510" s="214"/>
      <c r="I510" s="32" t="str">
        <f t="shared" si="15"/>
        <v/>
      </c>
      <c r="J510" s="32" t="str">
        <f t="shared" si="16"/>
        <v/>
      </c>
    </row>
    <row r="511" spans="2:10" ht="20.100000000000001" customHeight="1" x14ac:dyDescent="0.2">
      <c r="B511" s="29"/>
      <c r="C511" s="4"/>
      <c r="D511" s="212"/>
      <c r="E511" s="213"/>
      <c r="F511" s="213"/>
      <c r="G511" s="213"/>
      <c r="H511" s="214"/>
      <c r="I511" s="32" t="str">
        <f t="shared" si="15"/>
        <v/>
      </c>
      <c r="J511" s="32" t="str">
        <f t="shared" si="16"/>
        <v/>
      </c>
    </row>
    <row r="512" spans="2:10" ht="20.100000000000001" customHeight="1" x14ac:dyDescent="0.2">
      <c r="B512" s="29"/>
      <c r="C512" s="4"/>
      <c r="D512" s="212"/>
      <c r="E512" s="213"/>
      <c r="F512" s="213"/>
      <c r="G512" s="213"/>
      <c r="H512" s="214"/>
      <c r="I512" s="32" t="str">
        <f t="shared" si="15"/>
        <v/>
      </c>
      <c r="J512" s="32" t="str">
        <f t="shared" si="16"/>
        <v/>
      </c>
    </row>
    <row r="513" spans="2:10" ht="20.100000000000001" customHeight="1" x14ac:dyDescent="0.2">
      <c r="B513" s="29"/>
      <c r="C513" s="4"/>
      <c r="D513" s="212"/>
      <c r="E513" s="213"/>
      <c r="F513" s="213"/>
      <c r="G513" s="213"/>
      <c r="H513" s="214"/>
      <c r="I513" s="32" t="str">
        <f t="shared" si="15"/>
        <v/>
      </c>
      <c r="J513" s="32" t="str">
        <f t="shared" si="16"/>
        <v/>
      </c>
    </row>
    <row r="514" spans="2:10" ht="20.100000000000001" customHeight="1" x14ac:dyDescent="0.2">
      <c r="B514" s="29"/>
      <c r="C514" s="4"/>
      <c r="D514" s="212"/>
      <c r="E514" s="213"/>
      <c r="F514" s="213"/>
      <c r="G514" s="213"/>
      <c r="H514" s="214"/>
      <c r="I514" s="32" t="str">
        <f t="shared" si="15"/>
        <v/>
      </c>
      <c r="J514" s="32" t="str">
        <f t="shared" si="16"/>
        <v/>
      </c>
    </row>
    <row r="515" spans="2:10" ht="20.100000000000001" customHeight="1" x14ac:dyDescent="0.2">
      <c r="B515" s="29"/>
      <c r="C515" s="4"/>
      <c r="D515" s="212"/>
      <c r="E515" s="213"/>
      <c r="F515" s="213"/>
      <c r="G515" s="213"/>
      <c r="H515" s="214"/>
      <c r="I515" s="32" t="str">
        <f t="shared" si="15"/>
        <v/>
      </c>
      <c r="J515" s="32" t="str">
        <f t="shared" si="16"/>
        <v/>
      </c>
    </row>
    <row r="516" spans="2:10" ht="20.100000000000001" customHeight="1" x14ac:dyDescent="0.2">
      <c r="B516" s="29"/>
      <c r="C516" s="4"/>
      <c r="D516" s="212"/>
      <c r="E516" s="213"/>
      <c r="F516" s="213"/>
      <c r="G516" s="213"/>
      <c r="H516" s="214"/>
      <c r="I516" s="32" t="str">
        <f t="shared" si="15"/>
        <v/>
      </c>
      <c r="J516" s="32" t="str">
        <f t="shared" si="16"/>
        <v/>
      </c>
    </row>
    <row r="517" spans="2:10" ht="20.100000000000001" customHeight="1" x14ac:dyDescent="0.2">
      <c r="B517" s="29"/>
      <c r="C517" s="4"/>
      <c r="D517" s="212"/>
      <c r="E517" s="213"/>
      <c r="F517" s="213"/>
      <c r="G517" s="213"/>
      <c r="H517" s="214"/>
      <c r="I517" s="32" t="str">
        <f t="shared" ref="I517:I580" si="17">IFERROR(AVERAGE(INDEX($D:$H,ROW(),)),"")</f>
        <v/>
      </c>
      <c r="J517" s="32" t="str">
        <f t="shared" si="16"/>
        <v/>
      </c>
    </row>
    <row r="518" spans="2:10" ht="20.100000000000001" customHeight="1" x14ac:dyDescent="0.2">
      <c r="B518" s="29"/>
      <c r="C518" s="4"/>
      <c r="D518" s="212"/>
      <c r="E518" s="213"/>
      <c r="F518" s="213"/>
      <c r="G518" s="213"/>
      <c r="H518" s="214"/>
      <c r="I518" s="32" t="str">
        <f t="shared" si="17"/>
        <v/>
      </c>
      <c r="J518" s="32" t="str">
        <f t="shared" si="16"/>
        <v/>
      </c>
    </row>
    <row r="519" spans="2:10" ht="20.100000000000001" customHeight="1" x14ac:dyDescent="0.2">
      <c r="B519" s="29"/>
      <c r="C519" s="4"/>
      <c r="D519" s="212"/>
      <c r="E519" s="213"/>
      <c r="F519" s="213"/>
      <c r="G519" s="213"/>
      <c r="H519" s="214"/>
      <c r="I519" s="32" t="str">
        <f t="shared" si="17"/>
        <v/>
      </c>
      <c r="J519" s="32" t="str">
        <f t="shared" si="16"/>
        <v/>
      </c>
    </row>
    <row r="520" spans="2:10" ht="20.100000000000001" customHeight="1" x14ac:dyDescent="0.2">
      <c r="B520" s="29"/>
      <c r="C520" s="4"/>
      <c r="D520" s="212"/>
      <c r="E520" s="213"/>
      <c r="F520" s="213"/>
      <c r="G520" s="213"/>
      <c r="H520" s="214"/>
      <c r="I520" s="32" t="str">
        <f t="shared" si="17"/>
        <v/>
      </c>
      <c r="J520" s="32" t="str">
        <f t="shared" si="16"/>
        <v/>
      </c>
    </row>
    <row r="521" spans="2:10" ht="20.100000000000001" customHeight="1" x14ac:dyDescent="0.2">
      <c r="B521" s="29"/>
      <c r="C521" s="4"/>
      <c r="D521" s="212"/>
      <c r="E521" s="213"/>
      <c r="F521" s="213"/>
      <c r="G521" s="213"/>
      <c r="H521" s="214"/>
      <c r="I521" s="32" t="str">
        <f t="shared" si="17"/>
        <v/>
      </c>
      <c r="J521" s="32" t="str">
        <f t="shared" si="16"/>
        <v/>
      </c>
    </row>
    <row r="522" spans="2:10" ht="20.100000000000001" customHeight="1" x14ac:dyDescent="0.2">
      <c r="B522" s="29"/>
      <c r="C522" s="4"/>
      <c r="D522" s="212"/>
      <c r="E522" s="213"/>
      <c r="F522" s="213"/>
      <c r="G522" s="213"/>
      <c r="H522" s="214"/>
      <c r="I522" s="32" t="str">
        <f t="shared" si="17"/>
        <v/>
      </c>
      <c r="J522" s="32" t="str">
        <f t="shared" si="16"/>
        <v/>
      </c>
    </row>
    <row r="523" spans="2:10" ht="20.100000000000001" customHeight="1" x14ac:dyDescent="0.2">
      <c r="B523" s="29"/>
      <c r="C523" s="4"/>
      <c r="D523" s="212"/>
      <c r="E523" s="213"/>
      <c r="F523" s="213"/>
      <c r="G523" s="213"/>
      <c r="H523" s="214"/>
      <c r="I523" s="32" t="str">
        <f t="shared" si="17"/>
        <v/>
      </c>
      <c r="J523" s="32" t="str">
        <f t="shared" ref="J523:J586" si="18">IF(ISBLANK(INDEX(D:H,ROW(),1)),"",MIN(INDEX($D:$H,ROW(),)))</f>
        <v/>
      </c>
    </row>
    <row r="524" spans="2:10" ht="20.100000000000001" customHeight="1" x14ac:dyDescent="0.2">
      <c r="B524" s="29"/>
      <c r="C524" s="4"/>
      <c r="D524" s="212"/>
      <c r="E524" s="213"/>
      <c r="F524" s="213"/>
      <c r="G524" s="213"/>
      <c r="H524" s="214"/>
      <c r="I524" s="32" t="str">
        <f t="shared" si="17"/>
        <v/>
      </c>
      <c r="J524" s="32" t="str">
        <f t="shared" si="18"/>
        <v/>
      </c>
    </row>
    <row r="525" spans="2:10" ht="20.100000000000001" customHeight="1" x14ac:dyDescent="0.2">
      <c r="B525" s="29"/>
      <c r="C525" s="4"/>
      <c r="D525" s="212"/>
      <c r="E525" s="213"/>
      <c r="F525" s="213"/>
      <c r="G525" s="213"/>
      <c r="H525" s="214"/>
      <c r="I525" s="32" t="str">
        <f t="shared" si="17"/>
        <v/>
      </c>
      <c r="J525" s="32" t="str">
        <f t="shared" si="18"/>
        <v/>
      </c>
    </row>
    <row r="526" spans="2:10" ht="20.100000000000001" customHeight="1" x14ac:dyDescent="0.2">
      <c r="B526" s="29"/>
      <c r="C526" s="4"/>
      <c r="D526" s="212"/>
      <c r="E526" s="213"/>
      <c r="F526" s="213"/>
      <c r="G526" s="213"/>
      <c r="H526" s="214"/>
      <c r="I526" s="32" t="str">
        <f t="shared" si="17"/>
        <v/>
      </c>
      <c r="J526" s="32" t="str">
        <f t="shared" si="18"/>
        <v/>
      </c>
    </row>
    <row r="527" spans="2:10" ht="20.100000000000001" customHeight="1" x14ac:dyDescent="0.2">
      <c r="B527" s="29"/>
      <c r="C527" s="4"/>
      <c r="D527" s="212"/>
      <c r="E527" s="213"/>
      <c r="F527" s="213"/>
      <c r="G527" s="213"/>
      <c r="H527" s="214"/>
      <c r="I527" s="32" t="str">
        <f t="shared" si="17"/>
        <v/>
      </c>
      <c r="J527" s="32" t="str">
        <f t="shared" si="18"/>
        <v/>
      </c>
    </row>
    <row r="528" spans="2:10" ht="20.100000000000001" customHeight="1" x14ac:dyDescent="0.2">
      <c r="B528" s="29"/>
      <c r="C528" s="4"/>
      <c r="D528" s="212"/>
      <c r="E528" s="213"/>
      <c r="F528" s="213"/>
      <c r="G528" s="213"/>
      <c r="H528" s="214"/>
      <c r="I528" s="32" t="str">
        <f t="shared" si="17"/>
        <v/>
      </c>
      <c r="J528" s="32" t="str">
        <f t="shared" si="18"/>
        <v/>
      </c>
    </row>
    <row r="529" spans="2:10" ht="20.100000000000001" customHeight="1" x14ac:dyDescent="0.2">
      <c r="B529" s="29"/>
      <c r="C529" s="4"/>
      <c r="D529" s="212"/>
      <c r="E529" s="213"/>
      <c r="F529" s="213"/>
      <c r="G529" s="213"/>
      <c r="H529" s="214"/>
      <c r="I529" s="32" t="str">
        <f t="shared" si="17"/>
        <v/>
      </c>
      <c r="J529" s="32" t="str">
        <f t="shared" si="18"/>
        <v/>
      </c>
    </row>
    <row r="530" spans="2:10" ht="20.100000000000001" customHeight="1" x14ac:dyDescent="0.2">
      <c r="B530" s="29"/>
      <c r="C530" s="4"/>
      <c r="D530" s="212"/>
      <c r="E530" s="213"/>
      <c r="F530" s="213"/>
      <c r="G530" s="213"/>
      <c r="H530" s="214"/>
      <c r="I530" s="32" t="str">
        <f t="shared" si="17"/>
        <v/>
      </c>
      <c r="J530" s="32" t="str">
        <f t="shared" si="18"/>
        <v/>
      </c>
    </row>
    <row r="531" spans="2:10" ht="20.100000000000001" customHeight="1" x14ac:dyDescent="0.2">
      <c r="B531" s="29"/>
      <c r="C531" s="4"/>
      <c r="D531" s="212"/>
      <c r="E531" s="213"/>
      <c r="F531" s="213"/>
      <c r="G531" s="213"/>
      <c r="H531" s="214"/>
      <c r="I531" s="32" t="str">
        <f t="shared" si="17"/>
        <v/>
      </c>
      <c r="J531" s="32" t="str">
        <f t="shared" si="18"/>
        <v/>
      </c>
    </row>
    <row r="532" spans="2:10" ht="20.100000000000001" customHeight="1" x14ac:dyDescent="0.2">
      <c r="B532" s="29"/>
      <c r="C532" s="4"/>
      <c r="D532" s="212"/>
      <c r="E532" s="213"/>
      <c r="F532" s="213"/>
      <c r="G532" s="213"/>
      <c r="H532" s="214"/>
      <c r="I532" s="32" t="str">
        <f t="shared" si="17"/>
        <v/>
      </c>
      <c r="J532" s="32" t="str">
        <f t="shared" si="18"/>
        <v/>
      </c>
    </row>
    <row r="533" spans="2:10" ht="20.100000000000001" customHeight="1" x14ac:dyDescent="0.2">
      <c r="B533" s="29"/>
      <c r="C533" s="4"/>
      <c r="D533" s="212"/>
      <c r="E533" s="213"/>
      <c r="F533" s="213"/>
      <c r="G533" s="213"/>
      <c r="H533" s="214"/>
      <c r="I533" s="32" t="str">
        <f t="shared" si="17"/>
        <v/>
      </c>
      <c r="J533" s="32" t="str">
        <f t="shared" si="18"/>
        <v/>
      </c>
    </row>
    <row r="534" spans="2:10" ht="20.100000000000001" customHeight="1" x14ac:dyDescent="0.2">
      <c r="B534" s="29"/>
      <c r="C534" s="4"/>
      <c r="D534" s="212"/>
      <c r="E534" s="213"/>
      <c r="F534" s="213"/>
      <c r="G534" s="213"/>
      <c r="H534" s="214"/>
      <c r="I534" s="32" t="str">
        <f t="shared" si="17"/>
        <v/>
      </c>
      <c r="J534" s="32" t="str">
        <f t="shared" si="18"/>
        <v/>
      </c>
    </row>
    <row r="535" spans="2:10" ht="20.100000000000001" customHeight="1" x14ac:dyDescent="0.2">
      <c r="B535" s="29"/>
      <c r="C535" s="4"/>
      <c r="D535" s="212"/>
      <c r="E535" s="213"/>
      <c r="F535" s="213"/>
      <c r="G535" s="213"/>
      <c r="H535" s="214"/>
      <c r="I535" s="32" t="str">
        <f t="shared" si="17"/>
        <v/>
      </c>
      <c r="J535" s="32" t="str">
        <f t="shared" si="18"/>
        <v/>
      </c>
    </row>
    <row r="536" spans="2:10" ht="20.100000000000001" customHeight="1" x14ac:dyDescent="0.2">
      <c r="B536" s="29"/>
      <c r="C536" s="4"/>
      <c r="D536" s="212"/>
      <c r="E536" s="213"/>
      <c r="F536" s="213"/>
      <c r="G536" s="213"/>
      <c r="H536" s="214"/>
      <c r="I536" s="32" t="str">
        <f t="shared" si="17"/>
        <v/>
      </c>
      <c r="J536" s="32" t="str">
        <f t="shared" si="18"/>
        <v/>
      </c>
    </row>
    <row r="537" spans="2:10" ht="20.100000000000001" customHeight="1" x14ac:dyDescent="0.2">
      <c r="B537" s="29"/>
      <c r="C537" s="4"/>
      <c r="D537" s="212"/>
      <c r="E537" s="213"/>
      <c r="F537" s="213"/>
      <c r="G537" s="213"/>
      <c r="H537" s="214"/>
      <c r="I537" s="32" t="str">
        <f t="shared" si="17"/>
        <v/>
      </c>
      <c r="J537" s="32" t="str">
        <f t="shared" si="18"/>
        <v/>
      </c>
    </row>
    <row r="538" spans="2:10" ht="20.100000000000001" customHeight="1" x14ac:dyDescent="0.2">
      <c r="B538" s="29"/>
      <c r="C538" s="4"/>
      <c r="D538" s="212"/>
      <c r="E538" s="213"/>
      <c r="F538" s="213"/>
      <c r="G538" s="213"/>
      <c r="H538" s="214"/>
      <c r="I538" s="32" t="str">
        <f t="shared" si="17"/>
        <v/>
      </c>
      <c r="J538" s="32" t="str">
        <f t="shared" si="18"/>
        <v/>
      </c>
    </row>
    <row r="539" spans="2:10" ht="20.100000000000001" customHeight="1" x14ac:dyDescent="0.2">
      <c r="B539" s="29"/>
      <c r="C539" s="4"/>
      <c r="D539" s="212"/>
      <c r="E539" s="213"/>
      <c r="F539" s="213"/>
      <c r="G539" s="213"/>
      <c r="H539" s="214"/>
      <c r="I539" s="32" t="str">
        <f t="shared" si="17"/>
        <v/>
      </c>
      <c r="J539" s="32" t="str">
        <f t="shared" si="18"/>
        <v/>
      </c>
    </row>
    <row r="540" spans="2:10" ht="20.100000000000001" customHeight="1" x14ac:dyDescent="0.2">
      <c r="B540" s="29"/>
      <c r="C540" s="4"/>
      <c r="D540" s="212"/>
      <c r="E540" s="213"/>
      <c r="F540" s="213"/>
      <c r="G540" s="213"/>
      <c r="H540" s="214"/>
      <c r="I540" s="32" t="str">
        <f t="shared" si="17"/>
        <v/>
      </c>
      <c r="J540" s="32" t="str">
        <f t="shared" si="18"/>
        <v/>
      </c>
    </row>
    <row r="541" spans="2:10" ht="20.100000000000001" customHeight="1" x14ac:dyDescent="0.2">
      <c r="B541" s="29"/>
      <c r="C541" s="4"/>
      <c r="D541" s="212"/>
      <c r="E541" s="213"/>
      <c r="F541" s="213"/>
      <c r="G541" s="213"/>
      <c r="H541" s="214"/>
      <c r="I541" s="32" t="str">
        <f t="shared" si="17"/>
        <v/>
      </c>
      <c r="J541" s="32" t="str">
        <f t="shared" si="18"/>
        <v/>
      </c>
    </row>
    <row r="542" spans="2:10" ht="20.100000000000001" customHeight="1" x14ac:dyDescent="0.2">
      <c r="B542" s="29"/>
      <c r="C542" s="4"/>
      <c r="D542" s="212"/>
      <c r="E542" s="213"/>
      <c r="F542" s="213"/>
      <c r="G542" s="213"/>
      <c r="H542" s="214"/>
      <c r="I542" s="32" t="str">
        <f t="shared" si="17"/>
        <v/>
      </c>
      <c r="J542" s="32" t="str">
        <f t="shared" si="18"/>
        <v/>
      </c>
    </row>
    <row r="543" spans="2:10" ht="20.100000000000001" customHeight="1" x14ac:dyDescent="0.2">
      <c r="B543" s="29"/>
      <c r="C543" s="4"/>
      <c r="D543" s="212"/>
      <c r="E543" s="213"/>
      <c r="F543" s="213"/>
      <c r="G543" s="213"/>
      <c r="H543" s="214"/>
      <c r="I543" s="32" t="str">
        <f t="shared" si="17"/>
        <v/>
      </c>
      <c r="J543" s="32" t="str">
        <f t="shared" si="18"/>
        <v/>
      </c>
    </row>
    <row r="544" spans="2:10" ht="20.100000000000001" customHeight="1" x14ac:dyDescent="0.2">
      <c r="B544" s="29"/>
      <c r="C544" s="4"/>
      <c r="D544" s="212"/>
      <c r="E544" s="213"/>
      <c r="F544" s="213"/>
      <c r="G544" s="213"/>
      <c r="H544" s="214"/>
      <c r="I544" s="32" t="str">
        <f t="shared" si="17"/>
        <v/>
      </c>
      <c r="J544" s="32" t="str">
        <f t="shared" si="18"/>
        <v/>
      </c>
    </row>
    <row r="545" spans="2:10" ht="20.100000000000001" customHeight="1" x14ac:dyDescent="0.2">
      <c r="B545" s="29"/>
      <c r="C545" s="4"/>
      <c r="D545" s="212"/>
      <c r="E545" s="213"/>
      <c r="F545" s="213"/>
      <c r="G545" s="213"/>
      <c r="H545" s="214"/>
      <c r="I545" s="32" t="str">
        <f t="shared" si="17"/>
        <v/>
      </c>
      <c r="J545" s="32" t="str">
        <f t="shared" si="18"/>
        <v/>
      </c>
    </row>
    <row r="546" spans="2:10" ht="20.100000000000001" customHeight="1" x14ac:dyDescent="0.2">
      <c r="B546" s="29"/>
      <c r="C546" s="4"/>
      <c r="D546" s="212"/>
      <c r="E546" s="213"/>
      <c r="F546" s="213"/>
      <c r="G546" s="213"/>
      <c r="H546" s="214"/>
      <c r="I546" s="32" t="str">
        <f t="shared" si="17"/>
        <v/>
      </c>
      <c r="J546" s="32" t="str">
        <f t="shared" si="18"/>
        <v/>
      </c>
    </row>
    <row r="547" spans="2:10" ht="20.100000000000001" customHeight="1" x14ac:dyDescent="0.2">
      <c r="B547" s="29"/>
      <c r="C547" s="4"/>
      <c r="D547" s="212"/>
      <c r="E547" s="213"/>
      <c r="F547" s="213"/>
      <c r="G547" s="213"/>
      <c r="H547" s="214"/>
      <c r="I547" s="32" t="str">
        <f t="shared" si="17"/>
        <v/>
      </c>
      <c r="J547" s="32" t="str">
        <f t="shared" si="18"/>
        <v/>
      </c>
    </row>
    <row r="548" spans="2:10" ht="20.100000000000001" customHeight="1" x14ac:dyDescent="0.2">
      <c r="B548" s="29"/>
      <c r="C548" s="4"/>
      <c r="D548" s="212"/>
      <c r="E548" s="213"/>
      <c r="F548" s="213"/>
      <c r="G548" s="213"/>
      <c r="H548" s="214"/>
      <c r="I548" s="32" t="str">
        <f t="shared" si="17"/>
        <v/>
      </c>
      <c r="J548" s="32" t="str">
        <f t="shared" si="18"/>
        <v/>
      </c>
    </row>
    <row r="549" spans="2:10" ht="20.100000000000001" customHeight="1" x14ac:dyDescent="0.2">
      <c r="B549" s="29"/>
      <c r="C549" s="4"/>
      <c r="D549" s="212"/>
      <c r="E549" s="213"/>
      <c r="F549" s="213"/>
      <c r="G549" s="213"/>
      <c r="H549" s="214"/>
      <c r="I549" s="32" t="str">
        <f t="shared" si="17"/>
        <v/>
      </c>
      <c r="J549" s="32" t="str">
        <f t="shared" si="18"/>
        <v/>
      </c>
    </row>
    <row r="550" spans="2:10" ht="20.100000000000001" customHeight="1" x14ac:dyDescent="0.2">
      <c r="B550" s="29"/>
      <c r="C550" s="4"/>
      <c r="D550" s="212"/>
      <c r="E550" s="213"/>
      <c r="F550" s="213"/>
      <c r="G550" s="213"/>
      <c r="H550" s="214"/>
      <c r="I550" s="32" t="str">
        <f t="shared" si="17"/>
        <v/>
      </c>
      <c r="J550" s="32" t="str">
        <f t="shared" si="18"/>
        <v/>
      </c>
    </row>
    <row r="551" spans="2:10" ht="20.100000000000001" customHeight="1" x14ac:dyDescent="0.2">
      <c r="B551" s="29"/>
      <c r="C551" s="4"/>
      <c r="D551" s="212"/>
      <c r="E551" s="213"/>
      <c r="F551" s="213"/>
      <c r="G551" s="213"/>
      <c r="H551" s="214"/>
      <c r="I551" s="32" t="str">
        <f t="shared" si="17"/>
        <v/>
      </c>
      <c r="J551" s="32" t="str">
        <f t="shared" si="18"/>
        <v/>
      </c>
    </row>
    <row r="552" spans="2:10" ht="20.100000000000001" customHeight="1" x14ac:dyDescent="0.2">
      <c r="B552" s="29"/>
      <c r="C552" s="4"/>
      <c r="D552" s="212"/>
      <c r="E552" s="213"/>
      <c r="F552" s="213"/>
      <c r="G552" s="213"/>
      <c r="H552" s="214"/>
      <c r="I552" s="32" t="str">
        <f t="shared" si="17"/>
        <v/>
      </c>
      <c r="J552" s="32" t="str">
        <f t="shared" si="18"/>
        <v/>
      </c>
    </row>
    <row r="553" spans="2:10" ht="20.100000000000001" customHeight="1" x14ac:dyDescent="0.2">
      <c r="B553" s="29"/>
      <c r="C553" s="4"/>
      <c r="D553" s="212"/>
      <c r="E553" s="213"/>
      <c r="F553" s="213"/>
      <c r="G553" s="213"/>
      <c r="H553" s="214"/>
      <c r="I553" s="32" t="str">
        <f t="shared" si="17"/>
        <v/>
      </c>
      <c r="J553" s="32" t="str">
        <f t="shared" si="18"/>
        <v/>
      </c>
    </row>
    <row r="554" spans="2:10" ht="20.100000000000001" customHeight="1" x14ac:dyDescent="0.2">
      <c r="B554" s="29"/>
      <c r="C554" s="4"/>
      <c r="D554" s="212"/>
      <c r="E554" s="213"/>
      <c r="F554" s="213"/>
      <c r="G554" s="213"/>
      <c r="H554" s="214"/>
      <c r="I554" s="32" t="str">
        <f t="shared" si="17"/>
        <v/>
      </c>
      <c r="J554" s="32" t="str">
        <f t="shared" si="18"/>
        <v/>
      </c>
    </row>
    <row r="555" spans="2:10" ht="20.100000000000001" customHeight="1" x14ac:dyDescent="0.2">
      <c r="B555" s="29"/>
      <c r="C555" s="4"/>
      <c r="D555" s="212"/>
      <c r="E555" s="213"/>
      <c r="F555" s="213"/>
      <c r="G555" s="213"/>
      <c r="H555" s="214"/>
      <c r="I555" s="32" t="str">
        <f t="shared" si="17"/>
        <v/>
      </c>
      <c r="J555" s="32" t="str">
        <f t="shared" si="18"/>
        <v/>
      </c>
    </row>
    <row r="556" spans="2:10" ht="20.100000000000001" customHeight="1" x14ac:dyDescent="0.2">
      <c r="B556" s="29"/>
      <c r="C556" s="4"/>
      <c r="D556" s="212"/>
      <c r="E556" s="213"/>
      <c r="F556" s="213"/>
      <c r="G556" s="213"/>
      <c r="H556" s="214"/>
      <c r="I556" s="32" t="str">
        <f t="shared" si="17"/>
        <v/>
      </c>
      <c r="J556" s="32" t="str">
        <f t="shared" si="18"/>
        <v/>
      </c>
    </row>
    <row r="557" spans="2:10" ht="20.100000000000001" customHeight="1" x14ac:dyDescent="0.2">
      <c r="B557" s="29"/>
      <c r="C557" s="4"/>
      <c r="D557" s="212"/>
      <c r="E557" s="213"/>
      <c r="F557" s="213"/>
      <c r="G557" s="213"/>
      <c r="H557" s="214"/>
      <c r="I557" s="32" t="str">
        <f t="shared" si="17"/>
        <v/>
      </c>
      <c r="J557" s="32" t="str">
        <f t="shared" si="18"/>
        <v/>
      </c>
    </row>
    <row r="558" spans="2:10" ht="20.100000000000001" customHeight="1" x14ac:dyDescent="0.2">
      <c r="B558" s="29"/>
      <c r="C558" s="4"/>
      <c r="D558" s="212"/>
      <c r="E558" s="213"/>
      <c r="F558" s="213"/>
      <c r="G558" s="213"/>
      <c r="H558" s="214"/>
      <c r="I558" s="32" t="str">
        <f t="shared" si="17"/>
        <v/>
      </c>
      <c r="J558" s="32" t="str">
        <f t="shared" si="18"/>
        <v/>
      </c>
    </row>
    <row r="559" spans="2:10" ht="20.100000000000001" customHeight="1" x14ac:dyDescent="0.2">
      <c r="B559" s="29"/>
      <c r="C559" s="4"/>
      <c r="D559" s="212"/>
      <c r="E559" s="213"/>
      <c r="F559" s="213"/>
      <c r="G559" s="213"/>
      <c r="H559" s="214"/>
      <c r="I559" s="32" t="str">
        <f t="shared" si="17"/>
        <v/>
      </c>
      <c r="J559" s="32" t="str">
        <f t="shared" si="18"/>
        <v/>
      </c>
    </row>
    <row r="560" spans="2:10" ht="20.100000000000001" customHeight="1" x14ac:dyDescent="0.2">
      <c r="B560" s="29"/>
      <c r="C560" s="4"/>
      <c r="D560" s="212"/>
      <c r="E560" s="213"/>
      <c r="F560" s="213"/>
      <c r="G560" s="213"/>
      <c r="H560" s="214"/>
      <c r="I560" s="32" t="str">
        <f t="shared" si="17"/>
        <v/>
      </c>
      <c r="J560" s="32" t="str">
        <f t="shared" si="18"/>
        <v/>
      </c>
    </row>
    <row r="561" spans="2:10" ht="20.100000000000001" customHeight="1" x14ac:dyDescent="0.2">
      <c r="B561" s="29"/>
      <c r="C561" s="4"/>
      <c r="D561" s="212"/>
      <c r="E561" s="213"/>
      <c r="F561" s="213"/>
      <c r="G561" s="213"/>
      <c r="H561" s="214"/>
      <c r="I561" s="32" t="str">
        <f t="shared" si="17"/>
        <v/>
      </c>
      <c r="J561" s="32" t="str">
        <f t="shared" si="18"/>
        <v/>
      </c>
    </row>
    <row r="562" spans="2:10" ht="20.100000000000001" customHeight="1" x14ac:dyDescent="0.2">
      <c r="B562" s="29"/>
      <c r="C562" s="4"/>
      <c r="D562" s="212"/>
      <c r="E562" s="213"/>
      <c r="F562" s="213"/>
      <c r="G562" s="213"/>
      <c r="H562" s="214"/>
      <c r="I562" s="32" t="str">
        <f t="shared" si="17"/>
        <v/>
      </c>
      <c r="J562" s="32" t="str">
        <f t="shared" si="18"/>
        <v/>
      </c>
    </row>
    <row r="563" spans="2:10" ht="20.100000000000001" customHeight="1" x14ac:dyDescent="0.2">
      <c r="B563" s="29"/>
      <c r="C563" s="4"/>
      <c r="D563" s="212"/>
      <c r="E563" s="213"/>
      <c r="F563" s="213"/>
      <c r="G563" s="213"/>
      <c r="H563" s="214"/>
      <c r="I563" s="32" t="str">
        <f t="shared" si="17"/>
        <v/>
      </c>
      <c r="J563" s="32" t="str">
        <f t="shared" si="18"/>
        <v/>
      </c>
    </row>
    <row r="564" spans="2:10" ht="20.100000000000001" customHeight="1" x14ac:dyDescent="0.2">
      <c r="B564" s="29"/>
      <c r="C564" s="4"/>
      <c r="D564" s="212"/>
      <c r="E564" s="213"/>
      <c r="F564" s="213"/>
      <c r="G564" s="213"/>
      <c r="H564" s="214"/>
      <c r="I564" s="32" t="str">
        <f t="shared" si="17"/>
        <v/>
      </c>
      <c r="J564" s="32" t="str">
        <f t="shared" si="18"/>
        <v/>
      </c>
    </row>
    <row r="565" spans="2:10" ht="20.100000000000001" customHeight="1" x14ac:dyDescent="0.2">
      <c r="B565" s="29"/>
      <c r="C565" s="4"/>
      <c r="D565" s="212"/>
      <c r="E565" s="213"/>
      <c r="F565" s="213"/>
      <c r="G565" s="213"/>
      <c r="H565" s="214"/>
      <c r="I565" s="32" t="str">
        <f t="shared" si="17"/>
        <v/>
      </c>
      <c r="J565" s="32" t="str">
        <f t="shared" si="18"/>
        <v/>
      </c>
    </row>
    <row r="566" spans="2:10" ht="20.100000000000001" customHeight="1" x14ac:dyDescent="0.2">
      <c r="B566" s="29"/>
      <c r="C566" s="4"/>
      <c r="D566" s="212"/>
      <c r="E566" s="213"/>
      <c r="F566" s="213"/>
      <c r="G566" s="213"/>
      <c r="H566" s="214"/>
      <c r="I566" s="32" t="str">
        <f t="shared" si="17"/>
        <v/>
      </c>
      <c r="J566" s="32" t="str">
        <f t="shared" si="18"/>
        <v/>
      </c>
    </row>
    <row r="567" spans="2:10" ht="20.100000000000001" customHeight="1" x14ac:dyDescent="0.2">
      <c r="B567" s="29"/>
      <c r="C567" s="4"/>
      <c r="D567" s="212"/>
      <c r="E567" s="213"/>
      <c r="F567" s="213"/>
      <c r="G567" s="213"/>
      <c r="H567" s="214"/>
      <c r="I567" s="32" t="str">
        <f t="shared" si="17"/>
        <v/>
      </c>
      <c r="J567" s="32" t="str">
        <f t="shared" si="18"/>
        <v/>
      </c>
    </row>
    <row r="568" spans="2:10" ht="20.100000000000001" customHeight="1" x14ac:dyDescent="0.2">
      <c r="B568" s="29"/>
      <c r="C568" s="4"/>
      <c r="D568" s="212"/>
      <c r="E568" s="213"/>
      <c r="F568" s="213"/>
      <c r="G568" s="213"/>
      <c r="H568" s="214"/>
      <c r="I568" s="32" t="str">
        <f t="shared" si="17"/>
        <v/>
      </c>
      <c r="J568" s="32" t="str">
        <f t="shared" si="18"/>
        <v/>
      </c>
    </row>
    <row r="569" spans="2:10" ht="20.100000000000001" customHeight="1" x14ac:dyDescent="0.2">
      <c r="B569" s="29"/>
      <c r="C569" s="4"/>
      <c r="D569" s="212"/>
      <c r="E569" s="213"/>
      <c r="F569" s="213"/>
      <c r="G569" s="213"/>
      <c r="H569" s="214"/>
      <c r="I569" s="32" t="str">
        <f t="shared" si="17"/>
        <v/>
      </c>
      <c r="J569" s="32" t="str">
        <f t="shared" si="18"/>
        <v/>
      </c>
    </row>
    <row r="570" spans="2:10" ht="20.100000000000001" customHeight="1" x14ac:dyDescent="0.2">
      <c r="B570" s="29"/>
      <c r="C570" s="4"/>
      <c r="D570" s="212"/>
      <c r="E570" s="213"/>
      <c r="F570" s="213"/>
      <c r="G570" s="213"/>
      <c r="H570" s="214"/>
      <c r="I570" s="32" t="str">
        <f t="shared" si="17"/>
        <v/>
      </c>
      <c r="J570" s="32" t="str">
        <f t="shared" si="18"/>
        <v/>
      </c>
    </row>
    <row r="571" spans="2:10" ht="20.100000000000001" customHeight="1" x14ac:dyDescent="0.2">
      <c r="B571" s="29"/>
      <c r="C571" s="4"/>
      <c r="D571" s="212"/>
      <c r="E571" s="213"/>
      <c r="F571" s="213"/>
      <c r="G571" s="213"/>
      <c r="H571" s="214"/>
      <c r="I571" s="32" t="str">
        <f t="shared" si="17"/>
        <v/>
      </c>
      <c r="J571" s="32" t="str">
        <f t="shared" si="18"/>
        <v/>
      </c>
    </row>
    <row r="572" spans="2:10" ht="20.100000000000001" customHeight="1" x14ac:dyDescent="0.2">
      <c r="B572" s="29"/>
      <c r="C572" s="4"/>
      <c r="D572" s="212"/>
      <c r="E572" s="213"/>
      <c r="F572" s="213"/>
      <c r="G572" s="213"/>
      <c r="H572" s="214"/>
      <c r="I572" s="32" t="str">
        <f t="shared" si="17"/>
        <v/>
      </c>
      <c r="J572" s="32" t="str">
        <f t="shared" si="18"/>
        <v/>
      </c>
    </row>
    <row r="573" spans="2:10" ht="20.100000000000001" customHeight="1" x14ac:dyDescent="0.2">
      <c r="B573" s="29"/>
      <c r="C573" s="4"/>
      <c r="D573" s="212"/>
      <c r="E573" s="213"/>
      <c r="F573" s="213"/>
      <c r="G573" s="213"/>
      <c r="H573" s="214"/>
      <c r="I573" s="32" t="str">
        <f t="shared" si="17"/>
        <v/>
      </c>
      <c r="J573" s="32" t="str">
        <f t="shared" si="18"/>
        <v/>
      </c>
    </row>
    <row r="574" spans="2:10" ht="20.100000000000001" customHeight="1" x14ac:dyDescent="0.2">
      <c r="B574" s="29"/>
      <c r="C574" s="4"/>
      <c r="D574" s="212"/>
      <c r="E574" s="213"/>
      <c r="F574" s="213"/>
      <c r="G574" s="213"/>
      <c r="H574" s="214"/>
      <c r="I574" s="32" t="str">
        <f t="shared" si="17"/>
        <v/>
      </c>
      <c r="J574" s="32" t="str">
        <f t="shared" si="18"/>
        <v/>
      </c>
    </row>
    <row r="575" spans="2:10" ht="20.100000000000001" customHeight="1" x14ac:dyDescent="0.2">
      <c r="B575" s="29"/>
      <c r="C575" s="4"/>
      <c r="D575" s="212"/>
      <c r="E575" s="213"/>
      <c r="F575" s="213"/>
      <c r="G575" s="213"/>
      <c r="H575" s="214"/>
      <c r="I575" s="32" t="str">
        <f t="shared" si="17"/>
        <v/>
      </c>
      <c r="J575" s="32" t="str">
        <f t="shared" si="18"/>
        <v/>
      </c>
    </row>
    <row r="576" spans="2:10" ht="20.100000000000001" customHeight="1" x14ac:dyDescent="0.2">
      <c r="B576" s="29"/>
      <c r="C576" s="4"/>
      <c r="D576" s="212"/>
      <c r="E576" s="213"/>
      <c r="F576" s="213"/>
      <c r="G576" s="213"/>
      <c r="H576" s="214"/>
      <c r="I576" s="32" t="str">
        <f t="shared" si="17"/>
        <v/>
      </c>
      <c r="J576" s="32" t="str">
        <f t="shared" si="18"/>
        <v/>
      </c>
    </row>
    <row r="577" spans="2:10" ht="20.100000000000001" customHeight="1" x14ac:dyDescent="0.2">
      <c r="B577" s="29"/>
      <c r="C577" s="4"/>
      <c r="D577" s="212"/>
      <c r="E577" s="213"/>
      <c r="F577" s="213"/>
      <c r="G577" s="213"/>
      <c r="H577" s="214"/>
      <c r="I577" s="32" t="str">
        <f t="shared" si="17"/>
        <v/>
      </c>
      <c r="J577" s="32" t="str">
        <f t="shared" si="18"/>
        <v/>
      </c>
    </row>
    <row r="578" spans="2:10" ht="20.100000000000001" customHeight="1" x14ac:dyDescent="0.2">
      <c r="B578" s="29"/>
      <c r="C578" s="4"/>
      <c r="D578" s="212"/>
      <c r="E578" s="213"/>
      <c r="F578" s="213"/>
      <c r="G578" s="213"/>
      <c r="H578" s="214"/>
      <c r="I578" s="32" t="str">
        <f t="shared" si="17"/>
        <v/>
      </c>
      <c r="J578" s="32" t="str">
        <f t="shared" si="18"/>
        <v/>
      </c>
    </row>
    <row r="579" spans="2:10" ht="20.100000000000001" customHeight="1" x14ac:dyDescent="0.2">
      <c r="B579" s="29"/>
      <c r="C579" s="4"/>
      <c r="D579" s="212"/>
      <c r="E579" s="213"/>
      <c r="F579" s="213"/>
      <c r="G579" s="213"/>
      <c r="H579" s="214"/>
      <c r="I579" s="32" t="str">
        <f t="shared" si="17"/>
        <v/>
      </c>
      <c r="J579" s="32" t="str">
        <f t="shared" si="18"/>
        <v/>
      </c>
    </row>
    <row r="580" spans="2:10" ht="20.100000000000001" customHeight="1" x14ac:dyDescent="0.2">
      <c r="B580" s="29"/>
      <c r="C580" s="4"/>
      <c r="D580" s="212"/>
      <c r="E580" s="213"/>
      <c r="F580" s="213"/>
      <c r="G580" s="213"/>
      <c r="H580" s="214"/>
      <c r="I580" s="32" t="str">
        <f t="shared" si="17"/>
        <v/>
      </c>
      <c r="J580" s="32" t="str">
        <f t="shared" si="18"/>
        <v/>
      </c>
    </row>
    <row r="581" spans="2:10" ht="20.100000000000001" customHeight="1" x14ac:dyDescent="0.2">
      <c r="B581" s="29"/>
      <c r="C581" s="4"/>
      <c r="D581" s="212"/>
      <c r="E581" s="213"/>
      <c r="F581" s="213"/>
      <c r="G581" s="213"/>
      <c r="H581" s="214"/>
      <c r="I581" s="32" t="str">
        <f t="shared" ref="I581:I604" si="19">IFERROR(AVERAGE(INDEX($D:$H,ROW(),)),"")</f>
        <v/>
      </c>
      <c r="J581" s="32" t="str">
        <f t="shared" si="18"/>
        <v/>
      </c>
    </row>
    <row r="582" spans="2:10" ht="20.100000000000001" customHeight="1" x14ac:dyDescent="0.2">
      <c r="B582" s="29"/>
      <c r="C582" s="4"/>
      <c r="D582" s="212"/>
      <c r="E582" s="213"/>
      <c r="F582" s="213"/>
      <c r="G582" s="213"/>
      <c r="H582" s="214"/>
      <c r="I582" s="32" t="str">
        <f t="shared" si="19"/>
        <v/>
      </c>
      <c r="J582" s="32" t="str">
        <f t="shared" si="18"/>
        <v/>
      </c>
    </row>
    <row r="583" spans="2:10" ht="20.100000000000001" customHeight="1" x14ac:dyDescent="0.2">
      <c r="B583" s="29"/>
      <c r="C583" s="4"/>
      <c r="D583" s="212"/>
      <c r="E583" s="213"/>
      <c r="F583" s="213"/>
      <c r="G583" s="213"/>
      <c r="H583" s="214"/>
      <c r="I583" s="32" t="str">
        <f t="shared" si="19"/>
        <v/>
      </c>
      <c r="J583" s="32" t="str">
        <f t="shared" si="18"/>
        <v/>
      </c>
    </row>
    <row r="584" spans="2:10" ht="20.100000000000001" customHeight="1" x14ac:dyDescent="0.2">
      <c r="B584" s="29"/>
      <c r="C584" s="4"/>
      <c r="D584" s="212"/>
      <c r="E584" s="213"/>
      <c r="F584" s="213"/>
      <c r="G584" s="213"/>
      <c r="H584" s="214"/>
      <c r="I584" s="32" t="str">
        <f t="shared" si="19"/>
        <v/>
      </c>
      <c r="J584" s="32" t="str">
        <f t="shared" si="18"/>
        <v/>
      </c>
    </row>
    <row r="585" spans="2:10" ht="20.100000000000001" customHeight="1" x14ac:dyDescent="0.2">
      <c r="B585" s="29"/>
      <c r="C585" s="4"/>
      <c r="D585" s="212"/>
      <c r="E585" s="213"/>
      <c r="F585" s="213"/>
      <c r="G585" s="213"/>
      <c r="H585" s="214"/>
      <c r="I585" s="32" t="str">
        <f t="shared" si="19"/>
        <v/>
      </c>
      <c r="J585" s="32" t="str">
        <f t="shared" si="18"/>
        <v/>
      </c>
    </row>
    <row r="586" spans="2:10" ht="20.100000000000001" customHeight="1" x14ac:dyDescent="0.2">
      <c r="B586" s="29"/>
      <c r="C586" s="4"/>
      <c r="D586" s="212"/>
      <c r="E586" s="213"/>
      <c r="F586" s="213"/>
      <c r="G586" s="213"/>
      <c r="H586" s="214"/>
      <c r="I586" s="32" t="str">
        <f t="shared" si="19"/>
        <v/>
      </c>
      <c r="J586" s="32" t="str">
        <f t="shared" si="18"/>
        <v/>
      </c>
    </row>
    <row r="587" spans="2:10" ht="20.100000000000001" customHeight="1" x14ac:dyDescent="0.2">
      <c r="B587" s="29"/>
      <c r="C587" s="4"/>
      <c r="D587" s="212"/>
      <c r="E587" s="213"/>
      <c r="F587" s="213"/>
      <c r="G587" s="213"/>
      <c r="H587" s="214"/>
      <c r="I587" s="32" t="str">
        <f t="shared" si="19"/>
        <v/>
      </c>
      <c r="J587" s="32" t="str">
        <f t="shared" ref="J587:J604" si="20">IF(ISBLANK(INDEX(D:H,ROW(),1)),"",MIN(INDEX($D:$H,ROW(),)))</f>
        <v/>
      </c>
    </row>
    <row r="588" spans="2:10" ht="20.100000000000001" customHeight="1" x14ac:dyDescent="0.2">
      <c r="B588" s="29"/>
      <c r="C588" s="4"/>
      <c r="D588" s="212"/>
      <c r="E588" s="213"/>
      <c r="F588" s="213"/>
      <c r="G588" s="213"/>
      <c r="H588" s="214"/>
      <c r="I588" s="32" t="str">
        <f t="shared" si="19"/>
        <v/>
      </c>
      <c r="J588" s="32" t="str">
        <f t="shared" si="20"/>
        <v/>
      </c>
    </row>
    <row r="589" spans="2:10" ht="20.100000000000001" customHeight="1" x14ac:dyDescent="0.2">
      <c r="B589" s="29"/>
      <c r="C589" s="4"/>
      <c r="D589" s="212"/>
      <c r="E589" s="213"/>
      <c r="F589" s="213"/>
      <c r="G589" s="213"/>
      <c r="H589" s="214"/>
      <c r="I589" s="32" t="str">
        <f t="shared" si="19"/>
        <v/>
      </c>
      <c r="J589" s="32" t="str">
        <f t="shared" si="20"/>
        <v/>
      </c>
    </row>
    <row r="590" spans="2:10" ht="20.100000000000001" customHeight="1" x14ac:dyDescent="0.2">
      <c r="B590" s="29"/>
      <c r="C590" s="4"/>
      <c r="D590" s="212"/>
      <c r="E590" s="213"/>
      <c r="F590" s="213"/>
      <c r="G590" s="213"/>
      <c r="H590" s="214"/>
      <c r="I590" s="32" t="str">
        <f t="shared" si="19"/>
        <v/>
      </c>
      <c r="J590" s="32" t="str">
        <f t="shared" si="20"/>
        <v/>
      </c>
    </row>
    <row r="591" spans="2:10" ht="20.100000000000001" customHeight="1" x14ac:dyDescent="0.2">
      <c r="B591" s="29"/>
      <c r="C591" s="4"/>
      <c r="D591" s="212"/>
      <c r="E591" s="213"/>
      <c r="F591" s="213"/>
      <c r="G591" s="213"/>
      <c r="H591" s="214"/>
      <c r="I591" s="32" t="str">
        <f t="shared" si="19"/>
        <v/>
      </c>
      <c r="J591" s="32" t="str">
        <f t="shared" si="20"/>
        <v/>
      </c>
    </row>
    <row r="592" spans="2:10" ht="20.100000000000001" customHeight="1" x14ac:dyDescent="0.2">
      <c r="B592" s="29"/>
      <c r="C592" s="4"/>
      <c r="D592" s="212"/>
      <c r="E592" s="213"/>
      <c r="F592" s="213"/>
      <c r="G592" s="213"/>
      <c r="H592" s="214"/>
      <c r="I592" s="32" t="str">
        <f t="shared" si="19"/>
        <v/>
      </c>
      <c r="J592" s="32" t="str">
        <f t="shared" si="20"/>
        <v/>
      </c>
    </row>
    <row r="593" spans="2:10" ht="20.100000000000001" customHeight="1" x14ac:dyDescent="0.2">
      <c r="B593" s="29"/>
      <c r="C593" s="4"/>
      <c r="D593" s="212"/>
      <c r="E593" s="213"/>
      <c r="F593" s="213"/>
      <c r="G593" s="213"/>
      <c r="H593" s="214"/>
      <c r="I593" s="32" t="str">
        <f t="shared" si="19"/>
        <v/>
      </c>
      <c r="J593" s="32" t="str">
        <f t="shared" si="20"/>
        <v/>
      </c>
    </row>
    <row r="594" spans="2:10" ht="20.100000000000001" customHeight="1" x14ac:dyDescent="0.2">
      <c r="B594" s="29"/>
      <c r="C594" s="4"/>
      <c r="D594" s="212"/>
      <c r="E594" s="213"/>
      <c r="F594" s="213"/>
      <c r="G594" s="213"/>
      <c r="H594" s="214"/>
      <c r="I594" s="32" t="str">
        <f t="shared" si="19"/>
        <v/>
      </c>
      <c r="J594" s="32" t="str">
        <f t="shared" si="20"/>
        <v/>
      </c>
    </row>
    <row r="595" spans="2:10" ht="20.100000000000001" customHeight="1" x14ac:dyDescent="0.2">
      <c r="B595" s="29"/>
      <c r="C595" s="4"/>
      <c r="D595" s="212"/>
      <c r="E595" s="213"/>
      <c r="F595" s="213"/>
      <c r="G595" s="213"/>
      <c r="H595" s="214"/>
      <c r="I595" s="32" t="str">
        <f t="shared" si="19"/>
        <v/>
      </c>
      <c r="J595" s="32" t="str">
        <f t="shared" si="20"/>
        <v/>
      </c>
    </row>
    <row r="596" spans="2:10" ht="20.100000000000001" customHeight="1" x14ac:dyDescent="0.2">
      <c r="B596" s="29"/>
      <c r="C596" s="4"/>
      <c r="D596" s="212"/>
      <c r="E596" s="213"/>
      <c r="F596" s="213"/>
      <c r="G596" s="213"/>
      <c r="H596" s="214"/>
      <c r="I596" s="32" t="str">
        <f t="shared" si="19"/>
        <v/>
      </c>
      <c r="J596" s="32" t="str">
        <f t="shared" si="20"/>
        <v/>
      </c>
    </row>
    <row r="597" spans="2:10" ht="20.100000000000001" customHeight="1" x14ac:dyDescent="0.2">
      <c r="B597" s="29"/>
      <c r="C597" s="4"/>
      <c r="D597" s="212"/>
      <c r="E597" s="213"/>
      <c r="F597" s="213"/>
      <c r="G597" s="213"/>
      <c r="H597" s="214"/>
      <c r="I597" s="32" t="str">
        <f t="shared" si="19"/>
        <v/>
      </c>
      <c r="J597" s="32" t="str">
        <f t="shared" si="20"/>
        <v/>
      </c>
    </row>
    <row r="598" spans="2:10" ht="20.100000000000001" customHeight="1" x14ac:dyDescent="0.2">
      <c r="B598" s="29"/>
      <c r="C598" s="4"/>
      <c r="D598" s="212"/>
      <c r="E598" s="213"/>
      <c r="F598" s="213"/>
      <c r="G598" s="213"/>
      <c r="H598" s="214"/>
      <c r="I598" s="32" t="str">
        <f t="shared" si="19"/>
        <v/>
      </c>
      <c r="J598" s="32" t="str">
        <f t="shared" si="20"/>
        <v/>
      </c>
    </row>
    <row r="599" spans="2:10" ht="20.100000000000001" customHeight="1" x14ac:dyDescent="0.2">
      <c r="B599" s="29"/>
      <c r="C599" s="4"/>
      <c r="D599" s="212"/>
      <c r="E599" s="213"/>
      <c r="F599" s="213"/>
      <c r="G599" s="213"/>
      <c r="H599" s="214"/>
      <c r="I599" s="32" t="str">
        <f t="shared" si="19"/>
        <v/>
      </c>
      <c r="J599" s="32" t="str">
        <f t="shared" si="20"/>
        <v/>
      </c>
    </row>
    <row r="600" spans="2:10" ht="20.100000000000001" customHeight="1" x14ac:dyDescent="0.2">
      <c r="B600" s="29"/>
      <c r="C600" s="4"/>
      <c r="D600" s="212"/>
      <c r="E600" s="213"/>
      <c r="F600" s="213"/>
      <c r="G600" s="213"/>
      <c r="H600" s="214"/>
      <c r="I600" s="32" t="str">
        <f t="shared" si="19"/>
        <v/>
      </c>
      <c r="J600" s="32" t="str">
        <f t="shared" si="20"/>
        <v/>
      </c>
    </row>
    <row r="601" spans="2:10" ht="20.100000000000001" customHeight="1" x14ac:dyDescent="0.2">
      <c r="B601" s="29"/>
      <c r="C601" s="4"/>
      <c r="D601" s="212"/>
      <c r="E601" s="213"/>
      <c r="F601" s="213"/>
      <c r="G601" s="213"/>
      <c r="H601" s="214"/>
      <c r="I601" s="32" t="str">
        <f t="shared" si="19"/>
        <v/>
      </c>
      <c r="J601" s="32" t="str">
        <f t="shared" si="20"/>
        <v/>
      </c>
    </row>
    <row r="602" spans="2:10" ht="20.100000000000001" customHeight="1" x14ac:dyDescent="0.2">
      <c r="B602" s="29"/>
      <c r="C602" s="4"/>
      <c r="D602" s="212"/>
      <c r="E602" s="213"/>
      <c r="F602" s="213"/>
      <c r="G602" s="213"/>
      <c r="H602" s="214"/>
      <c r="I602" s="32" t="str">
        <f t="shared" si="19"/>
        <v/>
      </c>
      <c r="J602" s="32" t="str">
        <f t="shared" si="20"/>
        <v/>
      </c>
    </row>
    <row r="603" spans="2:10" ht="20.100000000000001" customHeight="1" x14ac:dyDescent="0.2">
      <c r="B603" s="29"/>
      <c r="C603" s="4"/>
      <c r="D603" s="212"/>
      <c r="E603" s="213"/>
      <c r="F603" s="213"/>
      <c r="G603" s="213"/>
      <c r="H603" s="214"/>
      <c r="I603" s="32" t="str">
        <f t="shared" si="19"/>
        <v/>
      </c>
      <c r="J603" s="32" t="str">
        <f t="shared" si="20"/>
        <v/>
      </c>
    </row>
    <row r="604" spans="2:10" ht="20.100000000000001" customHeight="1" x14ac:dyDescent="0.2">
      <c r="B604" s="29"/>
      <c r="C604" s="4"/>
      <c r="D604" s="212"/>
      <c r="E604" s="213"/>
      <c r="F604" s="213"/>
      <c r="G604" s="213"/>
      <c r="H604" s="214"/>
      <c r="I604" s="32" t="str">
        <f t="shared" si="19"/>
        <v/>
      </c>
      <c r="J604" s="32" t="str">
        <f t="shared" si="20"/>
        <v/>
      </c>
    </row>
  </sheetData>
  <autoFilter ref="B4:J604"/>
  <conditionalFormatting sqref="D5:J604">
    <cfRule type="cellIs" dxfId="4" priority="6" operator="between">
      <formula>Thickness5EoL</formula>
      <formula>Thickness4Red</formula>
    </cfRule>
    <cfRule type="cellIs" dxfId="3" priority="7" operator="between">
      <formula>Thickness4Red</formula>
      <formula>Thickness3Orange</formula>
    </cfRule>
    <cfRule type="cellIs" dxfId="2" priority="8" operator="between">
      <formula>Thickness3Orange</formula>
      <formula>Thickness2Yellow</formula>
    </cfRule>
    <cfRule type="cellIs" dxfId="1" priority="9" operator="between">
      <formula>Thickness2Yellow</formula>
      <formula>Thickness1NewGreen</formula>
    </cfRule>
    <cfRule type="cellIs" dxfId="0" priority="10" operator="between">
      <formula>Thickness1NewGreen</formula>
      <formula>Thickness1NewGreen*1.1</formula>
    </cfRule>
  </conditionalFormatting>
  <dataValidations count="2">
    <dataValidation type="date" operator="greaterThan" allowBlank="1" showInputMessage="1" showErrorMessage="1" errorTitle="Date entry format" error="Please enter date using format yyyy/mm/dd. So, for January 15, 2015, enter 2015/01/15. Thanks." sqref="B5:B604">
      <formula1>39814</formula1>
    </dataValidation>
    <dataValidation type="list" allowBlank="1" showInputMessage="1" showErrorMessage="1" sqref="C5:C604">
      <formula1>ControlShovels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D19"/>
  <sheetViews>
    <sheetView showGridLines="0" tabSelected="1" zoomScale="90" zoomScaleNormal="90" workbookViewId="0">
      <pane xSplit="1" ySplit="4" topLeftCell="G5" activePane="bottomRight" state="frozen"/>
      <selection pane="topRight" activeCell="B1" sqref="B1"/>
      <selection pane="bottomLeft" activeCell="A5" sqref="A5"/>
      <selection pane="bottomRight" activeCell="O17" sqref="O17"/>
    </sheetView>
  </sheetViews>
  <sheetFormatPr defaultRowHeight="20.100000000000001" customHeight="1" x14ac:dyDescent="0.2"/>
  <cols>
    <col min="1" max="1" width="9.140625" style="1"/>
    <col min="2" max="2" width="12.42578125" style="1" customWidth="1"/>
    <col min="3" max="3" width="10.7109375" style="1" customWidth="1"/>
    <col min="4" max="4" width="12.28515625" style="1" customWidth="1"/>
    <col min="5" max="5" width="26.5703125" style="2" customWidth="1"/>
    <col min="6" max="6" width="17.7109375" style="2" customWidth="1"/>
    <col min="7" max="7" width="13.42578125" style="2" customWidth="1"/>
    <col min="8" max="8" width="26.85546875" style="2" customWidth="1"/>
    <col min="9" max="9" width="30.140625" style="2" customWidth="1"/>
    <col min="10" max="10" width="23.140625" style="2" customWidth="1"/>
    <col min="11" max="11" width="7.7109375" style="2" customWidth="1"/>
    <col min="12" max="12" width="7.85546875" style="1" customWidth="1"/>
    <col min="13" max="17" width="9.140625" style="1"/>
    <col min="18" max="19" width="9.140625" style="2"/>
    <col min="20" max="20" width="12" style="2" customWidth="1"/>
    <col min="21" max="16384" width="9.140625" style="1"/>
  </cols>
  <sheetData>
    <row r="2" spans="2:30" ht="20.100000000000001" customHeight="1" x14ac:dyDescent="0.2">
      <c r="H2" s="3"/>
      <c r="I2" s="3"/>
    </row>
    <row r="3" spans="2:30" ht="26.25" customHeight="1" thickBot="1" x14ac:dyDescent="0.25">
      <c r="H3" s="92"/>
      <c r="I3" s="92"/>
      <c r="K3" s="219" t="s">
        <v>100</v>
      </c>
      <c r="L3" s="220"/>
      <c r="M3" s="220"/>
      <c r="N3" s="220"/>
      <c r="O3" s="220"/>
      <c r="P3" s="220"/>
      <c r="Q3" s="220"/>
      <c r="T3" s="244" t="s">
        <v>102</v>
      </c>
      <c r="U3" s="245"/>
      <c r="V3" s="262">
        <v>1</v>
      </c>
      <c r="W3" s="262"/>
      <c r="X3" s="262"/>
      <c r="Y3" s="262"/>
      <c r="Z3" s="262"/>
      <c r="AA3" s="262"/>
      <c r="AB3" s="263"/>
      <c r="AC3" s="262">
        <v>0</v>
      </c>
      <c r="AD3" s="262"/>
    </row>
    <row r="4" spans="2:30" s="38" customFormat="1" ht="52.5" customHeight="1" thickBot="1" x14ac:dyDescent="0.25">
      <c r="B4" s="128" t="s">
        <v>79</v>
      </c>
      <c r="C4" s="38" t="s">
        <v>85</v>
      </c>
      <c r="D4" s="127" t="s">
        <v>62</v>
      </c>
      <c r="E4" s="128" t="s">
        <v>75</v>
      </c>
      <c r="F4" s="128" t="s">
        <v>63</v>
      </c>
      <c r="G4" s="128" t="s">
        <v>69</v>
      </c>
      <c r="H4" s="128" t="s">
        <v>70</v>
      </c>
      <c r="I4" s="128" t="s">
        <v>71</v>
      </c>
      <c r="J4" s="128" t="s">
        <v>76</v>
      </c>
      <c r="K4" s="221"/>
      <c r="L4" s="228">
        <v>5</v>
      </c>
      <c r="M4" s="216">
        <v>4</v>
      </c>
      <c r="N4" s="217">
        <v>3</v>
      </c>
      <c r="O4" s="218">
        <v>2</v>
      </c>
      <c r="P4" s="227">
        <v>1</v>
      </c>
      <c r="Q4" s="222"/>
      <c r="R4" s="40"/>
      <c r="S4" s="40"/>
      <c r="T4" s="40"/>
      <c r="U4" s="249">
        <v>5</v>
      </c>
      <c r="V4" s="249"/>
      <c r="W4" s="250">
        <v>4</v>
      </c>
      <c r="X4" s="250"/>
      <c r="Y4" s="251">
        <v>3</v>
      </c>
      <c r="Z4" s="251"/>
      <c r="AA4" s="252">
        <v>2</v>
      </c>
      <c r="AB4" s="252"/>
      <c r="AC4" s="253">
        <v>1</v>
      </c>
      <c r="AD4" s="253"/>
    </row>
    <row r="5" spans="2:30" ht="20.100000000000001" customHeight="1" x14ac:dyDescent="0.2">
      <c r="B5" s="129" t="s">
        <v>68</v>
      </c>
      <c r="D5" s="124" t="s">
        <v>64</v>
      </c>
      <c r="E5" s="125">
        <v>25000</v>
      </c>
      <c r="F5" s="126">
        <v>0.8</v>
      </c>
      <c r="G5" s="125">
        <f>F5*24</f>
        <v>19.200000000000003</v>
      </c>
      <c r="H5" s="125">
        <f>E5/G5</f>
        <v>1302.083333333333</v>
      </c>
      <c r="I5" s="125">
        <f>H5/30</f>
        <v>43.402777777777764</v>
      </c>
      <c r="J5" s="125">
        <f>E5*0.07</f>
        <v>1750.0000000000002</v>
      </c>
      <c r="K5" s="125">
        <v>0</v>
      </c>
      <c r="L5" s="124">
        <v>270</v>
      </c>
      <c r="M5" s="124">
        <v>293</v>
      </c>
      <c r="N5" s="124">
        <v>305</v>
      </c>
      <c r="O5" s="124">
        <v>317</v>
      </c>
      <c r="P5" s="124">
        <v>340</v>
      </c>
      <c r="Q5" s="229">
        <f>P5*1.05</f>
        <v>357</v>
      </c>
      <c r="T5" s="237" t="str">
        <f>IF(D5="","",D5)</f>
        <v>BI</v>
      </c>
      <c r="U5" s="238">
        <f>IF(K5="","",K5)</f>
        <v>0</v>
      </c>
      <c r="V5" s="246">
        <f>IF(L5="","",L5)</f>
        <v>270</v>
      </c>
      <c r="W5" s="247"/>
      <c r="X5" s="247">
        <f>IF(M5="","",M5)</f>
        <v>293</v>
      </c>
      <c r="Y5" s="247"/>
      <c r="Z5" s="247">
        <f>IF(N5="","",N5)</f>
        <v>305</v>
      </c>
      <c r="AA5" s="247"/>
      <c r="AB5" s="247">
        <f>IF(O5="","",O5)</f>
        <v>317</v>
      </c>
      <c r="AC5" s="248"/>
      <c r="AD5" s="241">
        <f>IF(Q5="","",Q5)</f>
        <v>357</v>
      </c>
    </row>
    <row r="6" spans="2:30" ht="20.100000000000001" customHeight="1" x14ac:dyDescent="0.2">
      <c r="B6" s="119" t="s">
        <v>80</v>
      </c>
      <c r="D6" s="93" t="s">
        <v>65</v>
      </c>
      <c r="E6" s="94">
        <v>25000</v>
      </c>
      <c r="F6" s="95">
        <v>0.8</v>
      </c>
      <c r="G6" s="94">
        <f t="shared" ref="G6:G7" si="0">F6*24</f>
        <v>19.200000000000003</v>
      </c>
      <c r="H6" s="94">
        <f>E6/G6</f>
        <v>1302.083333333333</v>
      </c>
      <c r="I6" s="94">
        <f>H6/30</f>
        <v>43.402777777777764</v>
      </c>
      <c r="J6" s="94">
        <f t="shared" ref="J6:J7" si="1">E6*0.07</f>
        <v>1750.0000000000002</v>
      </c>
      <c r="K6" s="94">
        <v>0</v>
      </c>
      <c r="L6" s="93">
        <v>50</v>
      </c>
      <c r="M6" s="93">
        <v>74</v>
      </c>
      <c r="N6" s="93">
        <v>87</v>
      </c>
      <c r="O6" s="93">
        <v>100</v>
      </c>
      <c r="P6" s="93">
        <v>113</v>
      </c>
      <c r="Q6" s="230">
        <f t="shared" ref="Q6:Q7" si="2">P6*1.05</f>
        <v>118.65</v>
      </c>
      <c r="T6" s="237" t="str">
        <f t="shared" ref="T6:T9" si="3">IF(D6="","",D6)</f>
        <v>P&amp;H</v>
      </c>
      <c r="U6" s="239">
        <f t="shared" ref="U6:U8" si="4">IF(K6="","",K6)</f>
        <v>0</v>
      </c>
      <c r="V6" s="256">
        <f t="shared" ref="V6:V8" si="5">IF(L6="","",L6)</f>
        <v>50</v>
      </c>
      <c r="W6" s="254"/>
      <c r="X6" s="254">
        <f t="shared" ref="X6:X8" si="6">IF(M6="","",M6)</f>
        <v>74</v>
      </c>
      <c r="Y6" s="254"/>
      <c r="Z6" s="254">
        <f t="shared" ref="Z6:Z8" si="7">IF(N6="","",N6)</f>
        <v>87</v>
      </c>
      <c r="AA6" s="254"/>
      <c r="AB6" s="254">
        <f t="shared" ref="AB6:AB8" si="8">IF(O6="","",O6)</f>
        <v>100</v>
      </c>
      <c r="AC6" s="255"/>
      <c r="AD6" s="242">
        <f t="shared" ref="AD6:AD8" si="9">IF(Q6="","",Q6)</f>
        <v>118.65</v>
      </c>
    </row>
    <row r="7" spans="2:30" ht="20.100000000000001" customHeight="1" x14ac:dyDescent="0.2">
      <c r="B7" s="119"/>
      <c r="D7" s="93" t="s">
        <v>66</v>
      </c>
      <c r="E7" s="94">
        <v>15000</v>
      </c>
      <c r="F7" s="95">
        <v>0.6</v>
      </c>
      <c r="G7" s="94">
        <f t="shared" si="0"/>
        <v>14.399999999999999</v>
      </c>
      <c r="H7" s="94">
        <f>E7/G7</f>
        <v>1041.6666666666667</v>
      </c>
      <c r="I7" s="94">
        <f>H7/30</f>
        <v>34.722222222222221</v>
      </c>
      <c r="J7" s="94">
        <f t="shared" si="1"/>
        <v>1050</v>
      </c>
      <c r="K7" s="94">
        <v>0</v>
      </c>
      <c r="L7" s="93">
        <v>50</v>
      </c>
      <c r="M7" s="93">
        <v>61</v>
      </c>
      <c r="N7" s="93">
        <v>74</v>
      </c>
      <c r="O7" s="93">
        <v>87</v>
      </c>
      <c r="P7" s="93">
        <v>100</v>
      </c>
      <c r="Q7" s="230">
        <f t="shared" si="2"/>
        <v>105</v>
      </c>
      <c r="T7" s="237" t="str">
        <f t="shared" si="3"/>
        <v>O&amp;K</v>
      </c>
      <c r="U7" s="239">
        <f t="shared" si="4"/>
        <v>0</v>
      </c>
      <c r="V7" s="256">
        <f t="shared" si="5"/>
        <v>50</v>
      </c>
      <c r="W7" s="254"/>
      <c r="X7" s="254">
        <f t="shared" si="6"/>
        <v>61</v>
      </c>
      <c r="Y7" s="254"/>
      <c r="Z7" s="254">
        <f t="shared" si="7"/>
        <v>74</v>
      </c>
      <c r="AA7" s="254"/>
      <c r="AB7" s="254">
        <f t="shared" si="8"/>
        <v>87</v>
      </c>
      <c r="AC7" s="255"/>
      <c r="AD7" s="242">
        <f t="shared" si="9"/>
        <v>105</v>
      </c>
    </row>
    <row r="8" spans="2:30" ht="20.100000000000001" customHeight="1" x14ac:dyDescent="0.2">
      <c r="B8" s="119"/>
      <c r="D8" s="93"/>
      <c r="E8" s="94"/>
      <c r="F8" s="95"/>
      <c r="G8" s="94"/>
      <c r="H8" s="94"/>
      <c r="I8" s="94"/>
      <c r="J8" s="94"/>
      <c r="K8" s="94"/>
      <c r="L8" s="223"/>
      <c r="M8" s="223"/>
      <c r="N8" s="223"/>
      <c r="O8" s="223"/>
      <c r="P8" s="224"/>
      <c r="Q8" s="231"/>
      <c r="T8" s="236" t="str">
        <f t="shared" si="3"/>
        <v/>
      </c>
      <c r="U8" s="239" t="str">
        <f t="shared" si="4"/>
        <v/>
      </c>
      <c r="V8" s="256" t="str">
        <f t="shared" si="5"/>
        <v/>
      </c>
      <c r="W8" s="254"/>
      <c r="X8" s="254" t="str">
        <f t="shared" si="6"/>
        <v/>
      </c>
      <c r="Y8" s="254"/>
      <c r="Z8" s="254" t="str">
        <f t="shared" si="7"/>
        <v/>
      </c>
      <c r="AA8" s="254"/>
      <c r="AB8" s="254" t="str">
        <f t="shared" si="8"/>
        <v/>
      </c>
      <c r="AC8" s="255"/>
      <c r="AD8" s="242" t="str">
        <f t="shared" si="9"/>
        <v/>
      </c>
    </row>
    <row r="9" spans="2:30" ht="20.100000000000001" customHeight="1" x14ac:dyDescent="0.2">
      <c r="B9" s="120"/>
      <c r="D9" s="97"/>
      <c r="E9" s="98"/>
      <c r="F9" s="99"/>
      <c r="G9" s="98"/>
      <c r="H9" s="98"/>
      <c r="I9" s="98"/>
      <c r="J9" s="98"/>
      <c r="K9" s="98"/>
      <c r="L9" s="225"/>
      <c r="M9" s="225"/>
      <c r="N9" s="225"/>
      <c r="O9" s="225"/>
      <c r="P9" s="226"/>
      <c r="Q9" s="232"/>
      <c r="T9" s="236" t="str">
        <f t="shared" si="3"/>
        <v/>
      </c>
      <c r="U9" s="240"/>
      <c r="V9" s="233"/>
      <c r="W9" s="234"/>
      <c r="X9" s="234"/>
      <c r="Y9" s="234"/>
      <c r="Z9" s="234"/>
      <c r="AA9" s="234"/>
      <c r="AB9" s="234"/>
      <c r="AC9" s="235"/>
      <c r="AD9" s="243"/>
    </row>
    <row r="10" spans="2:30" ht="20.100000000000001" customHeight="1" x14ac:dyDescent="0.2">
      <c r="L10" s="215"/>
      <c r="M10" s="215"/>
      <c r="N10" s="215"/>
      <c r="O10" s="215"/>
      <c r="P10" s="215"/>
      <c r="Q10" s="215"/>
      <c r="V10" s="259" t="s">
        <v>106</v>
      </c>
      <c r="W10" s="259"/>
      <c r="X10" s="260"/>
      <c r="Y10" s="259" t="s">
        <v>104</v>
      </c>
      <c r="Z10" s="259"/>
      <c r="AA10" s="261"/>
      <c r="AB10" s="260"/>
      <c r="AC10" s="259" t="s">
        <v>105</v>
      </c>
      <c r="AD10" s="259"/>
    </row>
    <row r="16" spans="2:30" ht="20.100000000000001" customHeight="1" x14ac:dyDescent="0.2">
      <c r="L16" s="2"/>
      <c r="M16" s="2"/>
      <c r="N16" s="2"/>
      <c r="O16" s="2"/>
      <c r="P16" s="2"/>
    </row>
    <row r="17" spans="12:16" ht="20.100000000000001" customHeight="1" x14ac:dyDescent="0.2">
      <c r="L17" s="2"/>
      <c r="M17" s="2"/>
      <c r="N17" s="2"/>
      <c r="O17" s="2"/>
      <c r="P17" s="2"/>
    </row>
    <row r="18" spans="12:16" ht="20.100000000000001" customHeight="1" x14ac:dyDescent="0.2">
      <c r="L18" s="2"/>
      <c r="M18" s="2"/>
      <c r="N18" s="2"/>
      <c r="O18" s="2"/>
      <c r="P18" s="2"/>
    </row>
    <row r="19" spans="12:16" ht="20.100000000000001" customHeight="1" x14ac:dyDescent="0.2">
      <c r="L19" s="2"/>
      <c r="M19" s="2"/>
      <c r="N19" s="2"/>
      <c r="O19" s="2"/>
      <c r="P19" s="2"/>
    </row>
  </sheetData>
  <sortState ref="P5:P9">
    <sortCondition descending="1" ref="P13"/>
  </sortState>
  <mergeCells count="28">
    <mergeCell ref="V3:W3"/>
    <mergeCell ref="X3:Y3"/>
    <mergeCell ref="Z3:AA3"/>
    <mergeCell ref="AC3:AD3"/>
    <mergeCell ref="V6:W6"/>
    <mergeCell ref="X6:Y6"/>
    <mergeCell ref="Z6:AA6"/>
    <mergeCell ref="U4:V4"/>
    <mergeCell ref="W4:X4"/>
    <mergeCell ref="Y4:Z4"/>
    <mergeCell ref="AA4:AB4"/>
    <mergeCell ref="AC4:AD4"/>
    <mergeCell ref="V10:W10"/>
    <mergeCell ref="AC10:AD10"/>
    <mergeCell ref="Y10:Z10"/>
    <mergeCell ref="V5:W5"/>
    <mergeCell ref="X5:Y5"/>
    <mergeCell ref="Z5:AA5"/>
    <mergeCell ref="AB5:AC5"/>
    <mergeCell ref="Z8:AA8"/>
    <mergeCell ref="AB6:AC6"/>
    <mergeCell ref="AB7:AC7"/>
    <mergeCell ref="AB8:AC8"/>
    <mergeCell ref="V7:W7"/>
    <mergeCell ref="V8:W8"/>
    <mergeCell ref="X7:Y7"/>
    <mergeCell ref="X8:Y8"/>
    <mergeCell ref="Z7:AA7"/>
  </mergeCells>
  <dataValidations count="1">
    <dataValidation type="whole" allowBlank="1" showInputMessage="1" showErrorMessage="1" prompt="Enter thickness check points in mm." sqref="V5:AC9">
      <formula1>0</formula1>
      <formula2>400</formula2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D56"/>
  <sheetViews>
    <sheetView showGridLines="0" zoomScale="110" zoomScaleNormal="110" workbookViewId="0">
      <pane ySplit="12" topLeftCell="A19" activePane="bottomLeft" state="frozen"/>
      <selection pane="bottomLeft"/>
    </sheetView>
  </sheetViews>
  <sheetFormatPr defaultRowHeight="20.100000000000001" customHeight="1" x14ac:dyDescent="0.2"/>
  <cols>
    <col min="1" max="1" width="9.140625" style="7"/>
    <col min="2" max="2" width="17.85546875" style="7" customWidth="1"/>
    <col min="3" max="3" width="16.85546875" style="7" customWidth="1"/>
    <col min="4" max="4" width="89.42578125" style="7" customWidth="1"/>
    <col min="5" max="16384" width="9.140625" style="7"/>
  </cols>
  <sheetData>
    <row r="4" spans="2:4" ht="21.75" customHeight="1" x14ac:dyDescent="0.2"/>
    <row r="5" spans="2:4" ht="11.25" customHeight="1" thickBot="1" x14ac:dyDescent="0.25">
      <c r="B5" s="26"/>
      <c r="C5" s="8"/>
      <c r="D5" s="8"/>
    </row>
    <row r="6" spans="2:4" ht="70.5" customHeight="1" x14ac:dyDescent="0.2">
      <c r="B6" s="9" t="s">
        <v>1</v>
      </c>
      <c r="C6" s="257" t="s">
        <v>98</v>
      </c>
      <c r="D6" s="258"/>
    </row>
    <row r="7" spans="2:4" ht="26.25" customHeight="1" x14ac:dyDescent="0.2">
      <c r="B7" s="10" t="s">
        <v>2</v>
      </c>
      <c r="C7" s="11" t="s">
        <v>97</v>
      </c>
      <c r="D7" s="12"/>
    </row>
    <row r="8" spans="2:4" ht="12" customHeight="1" thickBot="1" x14ac:dyDescent="0.25">
      <c r="B8" s="12"/>
      <c r="C8" s="12"/>
      <c r="D8" s="12"/>
    </row>
    <row r="9" spans="2:4" ht="17.25" customHeight="1" x14ac:dyDescent="0.2">
      <c r="B9" s="13" t="s">
        <v>3</v>
      </c>
      <c r="C9" s="13" t="s">
        <v>4</v>
      </c>
      <c r="D9" s="14" t="s">
        <v>5</v>
      </c>
    </row>
    <row r="10" spans="2:4" ht="48.75" customHeight="1" x14ac:dyDescent="0.2">
      <c r="B10" s="15">
        <f>COUNTA(C13:C56)</f>
        <v>10</v>
      </c>
      <c r="C10" s="16">
        <f>MAX(C13:C56)</f>
        <v>3.8</v>
      </c>
      <c r="D10" s="17" t="str">
        <f>INDEX(D13:D56,MATCH(C10,C13:C56,FALSE),1)</f>
        <v>Rebuilding thickness wear status conditional formatting</v>
      </c>
    </row>
    <row r="11" spans="2:4" ht="7.5" customHeight="1" thickBot="1" x14ac:dyDescent="0.25"/>
    <row r="12" spans="2:4" ht="17.25" customHeight="1" x14ac:dyDescent="0.2">
      <c r="B12" s="18" t="s">
        <v>0</v>
      </c>
      <c r="C12" s="18" t="s">
        <v>6</v>
      </c>
      <c r="D12" s="19" t="s">
        <v>7</v>
      </c>
    </row>
    <row r="13" spans="2:4" ht="20.100000000000001" customHeight="1" x14ac:dyDescent="0.2">
      <c r="B13" s="20">
        <v>41837</v>
      </c>
      <c r="C13" s="21">
        <v>1.01</v>
      </c>
      <c r="D13" s="22" t="s">
        <v>8</v>
      </c>
    </row>
    <row r="14" spans="2:4" ht="20.100000000000001" customHeight="1" x14ac:dyDescent="0.2">
      <c r="B14" s="23"/>
      <c r="C14" s="24"/>
      <c r="D14" s="25" t="s">
        <v>30</v>
      </c>
    </row>
    <row r="15" spans="2:4" ht="20.100000000000001" customHeight="1" x14ac:dyDescent="0.2">
      <c r="B15" s="23">
        <v>41891</v>
      </c>
      <c r="C15" s="24"/>
      <c r="D15" s="25" t="s">
        <v>31</v>
      </c>
    </row>
    <row r="16" spans="2:4" ht="20.100000000000001" customHeight="1" x14ac:dyDescent="0.2">
      <c r="B16" s="23"/>
      <c r="C16" s="24"/>
      <c r="D16" s="25" t="s">
        <v>32</v>
      </c>
    </row>
    <row r="17" spans="2:4" ht="20.100000000000001" customHeight="1" x14ac:dyDescent="0.2">
      <c r="B17" s="23">
        <v>41897</v>
      </c>
      <c r="C17" s="24">
        <v>1.9</v>
      </c>
      <c r="D17" s="25" t="s">
        <v>46</v>
      </c>
    </row>
    <row r="18" spans="2:4" ht="20.100000000000001" customHeight="1" x14ac:dyDescent="0.2">
      <c r="B18" s="23">
        <v>41913</v>
      </c>
      <c r="C18" s="24">
        <v>1.95</v>
      </c>
      <c r="D18" s="47" t="s">
        <v>51</v>
      </c>
    </row>
    <row r="19" spans="2:4" ht="20.100000000000001" customHeight="1" x14ac:dyDescent="0.2">
      <c r="B19" s="23">
        <v>41927</v>
      </c>
      <c r="C19" s="24">
        <v>1.99</v>
      </c>
      <c r="D19" s="25" t="s">
        <v>78</v>
      </c>
    </row>
    <row r="20" spans="2:4" ht="37.5" customHeight="1" x14ac:dyDescent="0.2">
      <c r="B20" s="23">
        <v>41928</v>
      </c>
      <c r="C20" s="24">
        <v>2.0099999999999998</v>
      </c>
      <c r="D20" s="25" t="s">
        <v>83</v>
      </c>
    </row>
    <row r="21" spans="2:4" ht="73.5" customHeight="1" x14ac:dyDescent="0.2">
      <c r="B21" s="23">
        <v>41989</v>
      </c>
      <c r="C21" s="24">
        <v>2.9</v>
      </c>
      <c r="D21" s="25" t="s">
        <v>89</v>
      </c>
    </row>
    <row r="22" spans="2:4" ht="20.100000000000001" customHeight="1" x14ac:dyDescent="0.2">
      <c r="B22" s="23">
        <v>41995</v>
      </c>
      <c r="C22" s="24">
        <v>3.1</v>
      </c>
      <c r="D22" s="25" t="s">
        <v>95</v>
      </c>
    </row>
    <row r="23" spans="2:4" ht="20.100000000000001" customHeight="1" x14ac:dyDescent="0.2">
      <c r="B23" s="23">
        <v>41997</v>
      </c>
      <c r="C23" s="24">
        <v>3.21</v>
      </c>
      <c r="D23" s="25" t="s">
        <v>96</v>
      </c>
    </row>
    <row r="24" spans="2:4" ht="20.100000000000001" customHeight="1" x14ac:dyDescent="0.2">
      <c r="B24" s="23">
        <v>42052</v>
      </c>
      <c r="C24" s="24">
        <v>3.3</v>
      </c>
      <c r="D24" s="25" t="s">
        <v>99</v>
      </c>
    </row>
    <row r="25" spans="2:4" ht="20.100000000000001" customHeight="1" x14ac:dyDescent="0.2">
      <c r="B25" s="23">
        <v>42090</v>
      </c>
      <c r="C25" s="24">
        <v>3.8</v>
      </c>
      <c r="D25" s="25" t="s">
        <v>103</v>
      </c>
    </row>
    <row r="26" spans="2:4" ht="20.100000000000001" customHeight="1" x14ac:dyDescent="0.2">
      <c r="B26" s="23"/>
      <c r="C26" s="24"/>
      <c r="D26" s="25"/>
    </row>
    <row r="27" spans="2:4" ht="20.100000000000001" customHeight="1" x14ac:dyDescent="0.2">
      <c r="B27" s="23"/>
      <c r="C27" s="24"/>
      <c r="D27" s="25"/>
    </row>
    <row r="28" spans="2:4" ht="20.100000000000001" customHeight="1" x14ac:dyDescent="0.2">
      <c r="B28" s="23"/>
      <c r="C28" s="24"/>
      <c r="D28" s="25"/>
    </row>
    <row r="29" spans="2:4" ht="20.100000000000001" customHeight="1" x14ac:dyDescent="0.2">
      <c r="B29" s="23"/>
      <c r="C29" s="24"/>
      <c r="D29" s="25"/>
    </row>
    <row r="30" spans="2:4" ht="20.100000000000001" customHeight="1" x14ac:dyDescent="0.2">
      <c r="B30" s="23"/>
      <c r="C30" s="24"/>
      <c r="D30" s="25"/>
    </row>
    <row r="31" spans="2:4" ht="20.100000000000001" customHeight="1" x14ac:dyDescent="0.2">
      <c r="B31" s="23"/>
      <c r="C31" s="24"/>
      <c r="D31" s="25"/>
    </row>
    <row r="32" spans="2:4" ht="20.100000000000001" customHeight="1" x14ac:dyDescent="0.2">
      <c r="B32" s="23"/>
      <c r="C32" s="24"/>
      <c r="D32" s="25"/>
    </row>
    <row r="33" spans="2:4" ht="20.100000000000001" customHeight="1" x14ac:dyDescent="0.2">
      <c r="B33" s="23"/>
      <c r="C33" s="24"/>
      <c r="D33" s="25"/>
    </row>
    <row r="34" spans="2:4" ht="20.100000000000001" customHeight="1" x14ac:dyDescent="0.2">
      <c r="B34" s="23"/>
      <c r="C34" s="24"/>
      <c r="D34" s="25"/>
    </row>
    <row r="35" spans="2:4" ht="20.100000000000001" customHeight="1" x14ac:dyDescent="0.2">
      <c r="B35" s="23"/>
      <c r="C35" s="24"/>
      <c r="D35" s="25"/>
    </row>
    <row r="36" spans="2:4" ht="20.100000000000001" customHeight="1" x14ac:dyDescent="0.2">
      <c r="B36" s="23"/>
      <c r="C36" s="24"/>
      <c r="D36" s="25"/>
    </row>
    <row r="37" spans="2:4" ht="20.100000000000001" customHeight="1" x14ac:dyDescent="0.2">
      <c r="B37" s="23"/>
      <c r="C37" s="24"/>
      <c r="D37" s="25"/>
    </row>
    <row r="38" spans="2:4" ht="20.100000000000001" customHeight="1" x14ac:dyDescent="0.2">
      <c r="B38" s="23"/>
      <c r="C38" s="24"/>
      <c r="D38" s="25"/>
    </row>
    <row r="39" spans="2:4" ht="20.100000000000001" customHeight="1" x14ac:dyDescent="0.2">
      <c r="B39" s="23"/>
      <c r="C39" s="24"/>
      <c r="D39" s="25"/>
    </row>
    <row r="40" spans="2:4" ht="20.100000000000001" customHeight="1" x14ac:dyDescent="0.2">
      <c r="B40" s="23"/>
      <c r="C40" s="24"/>
      <c r="D40" s="25"/>
    </row>
    <row r="41" spans="2:4" ht="20.100000000000001" customHeight="1" x14ac:dyDescent="0.2">
      <c r="B41" s="23"/>
      <c r="C41" s="24"/>
      <c r="D41" s="25"/>
    </row>
    <row r="42" spans="2:4" ht="20.100000000000001" customHeight="1" x14ac:dyDescent="0.2">
      <c r="B42" s="23"/>
      <c r="C42" s="24"/>
      <c r="D42" s="25"/>
    </row>
    <row r="43" spans="2:4" ht="20.100000000000001" customHeight="1" x14ac:dyDescent="0.2">
      <c r="B43" s="23"/>
      <c r="C43" s="24"/>
      <c r="D43" s="25"/>
    </row>
    <row r="44" spans="2:4" ht="20.100000000000001" customHeight="1" x14ac:dyDescent="0.2">
      <c r="B44" s="23"/>
      <c r="C44" s="24"/>
      <c r="D44" s="25"/>
    </row>
    <row r="45" spans="2:4" ht="20.100000000000001" customHeight="1" x14ac:dyDescent="0.2">
      <c r="B45" s="23"/>
      <c r="C45" s="24"/>
      <c r="D45" s="25"/>
    </row>
    <row r="46" spans="2:4" ht="20.100000000000001" customHeight="1" x14ac:dyDescent="0.2">
      <c r="B46" s="23"/>
      <c r="C46" s="24"/>
      <c r="D46" s="25"/>
    </row>
    <row r="47" spans="2:4" ht="20.100000000000001" customHeight="1" x14ac:dyDescent="0.2">
      <c r="B47" s="23"/>
      <c r="C47" s="24"/>
      <c r="D47" s="25"/>
    </row>
    <row r="48" spans="2:4" ht="20.100000000000001" customHeight="1" x14ac:dyDescent="0.2">
      <c r="B48" s="23"/>
      <c r="C48" s="24"/>
      <c r="D48" s="25"/>
    </row>
    <row r="49" spans="2:4" ht="20.100000000000001" customHeight="1" x14ac:dyDescent="0.2">
      <c r="B49" s="23"/>
      <c r="C49" s="24"/>
      <c r="D49" s="25"/>
    </row>
    <row r="50" spans="2:4" ht="20.100000000000001" customHeight="1" x14ac:dyDescent="0.2">
      <c r="B50" s="23"/>
      <c r="C50" s="24"/>
      <c r="D50" s="25"/>
    </row>
    <row r="51" spans="2:4" ht="20.100000000000001" customHeight="1" x14ac:dyDescent="0.2">
      <c r="B51" s="23"/>
      <c r="C51" s="24"/>
      <c r="D51" s="25"/>
    </row>
    <row r="52" spans="2:4" ht="20.100000000000001" customHeight="1" x14ac:dyDescent="0.2">
      <c r="B52" s="23"/>
      <c r="C52" s="24"/>
      <c r="D52" s="25"/>
    </row>
    <row r="53" spans="2:4" ht="20.100000000000001" customHeight="1" x14ac:dyDescent="0.2">
      <c r="B53" s="23"/>
      <c r="C53" s="24"/>
      <c r="D53" s="25"/>
    </row>
    <row r="54" spans="2:4" ht="20.100000000000001" customHeight="1" x14ac:dyDescent="0.2">
      <c r="B54" s="23"/>
      <c r="C54" s="24"/>
      <c r="D54" s="25"/>
    </row>
    <row r="55" spans="2:4" ht="20.100000000000001" customHeight="1" x14ac:dyDescent="0.2">
      <c r="B55" s="23"/>
      <c r="C55" s="24"/>
      <c r="D55" s="25"/>
    </row>
    <row r="56" spans="2:4" ht="20.100000000000001" customHeight="1" x14ac:dyDescent="0.2">
      <c r="B56" s="23"/>
      <c r="C56" s="24"/>
      <c r="D56" s="25"/>
    </row>
  </sheetData>
  <mergeCells count="1">
    <mergeCell ref="C6:D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Front Page</vt:lpstr>
      <vt:lpstr>Track Installation</vt:lpstr>
      <vt:lpstr>Hours</vt:lpstr>
      <vt:lpstr>Damage</vt:lpstr>
      <vt:lpstr>Thickness</vt:lpstr>
      <vt:lpstr>Control</vt:lpstr>
      <vt:lpstr>About</vt:lpstr>
      <vt:lpstr>Hours!Print_Area</vt:lpstr>
      <vt:lpstr>Thickness1NewGreen</vt:lpstr>
      <vt:lpstr>Thickness2Yellow</vt:lpstr>
      <vt:lpstr>Thickness3Orange</vt:lpstr>
      <vt:lpstr>Thickness4Red</vt:lpstr>
      <vt:lpstr>Thickness5EoL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Parsons, Ian /J</dc:creator>
  <cp:lastModifiedBy>Aubin, Duane G /JC</cp:lastModifiedBy>
  <cp:lastPrinted>2014-10-17T15:44:48Z</cp:lastPrinted>
  <dcterms:created xsi:type="dcterms:W3CDTF">2012-07-06T19:54:18Z</dcterms:created>
  <dcterms:modified xsi:type="dcterms:W3CDTF">2015-03-27T21:38:51Z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903338977</vt:i4>
  </property>
  <property fmtid="{D5CDD505-2E9C-101B-9397-08002B2CF9AE}" pid="3" name="_NewReviewCycle">
    <vt:lpwstr/>
  </property>
  <property fmtid="{D5CDD505-2E9C-101B-9397-08002B2CF9AE}" pid="4" name="_EmailSubject">
    <vt:lpwstr>shovel pad tracker</vt:lpwstr>
  </property>
  <property fmtid="{D5CDD505-2E9C-101B-9397-08002B2CF9AE}" pid="5" name="_AuthorEmail">
    <vt:lpwstr>aubin.duaneg@syncrude.com</vt:lpwstr>
  </property>
  <property fmtid="{D5CDD505-2E9C-101B-9397-08002B2CF9AE}" pid="6" name="_AuthorEmailDisplayName">
    <vt:lpwstr>Aubin, Duane G /JC</vt:lpwstr>
  </property>
  <property fmtid="{D5CDD505-2E9C-101B-9397-08002B2CF9AE}" pid="7" name="_PreviousAdHocReviewCycleID">
    <vt:i4>-2005442898</vt:i4>
  </property>
  <property fmtid="{D5CDD505-2E9C-101B-9397-08002B2CF9AE}" pid="8" name="_ReviewingToolsShownOnce">
    <vt:lpwstr/>
  </property>
</Properties>
</file>